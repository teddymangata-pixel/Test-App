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me de vols" sheetId="1" state="visible" r:id="rId3"/>
  </sheets>
  <definedNames>
    <definedName function="false" hidden="false" localSheetId="0" name="_xlnm.Print_Area" vbProcedure="false">'Programme de vols'!$B$1:$L$39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Saisir la date du vol (dans l'annee avril 2027 - mars 2028).
Nb de rotations : 1 par defaut, 2 pour une double rotation le meme jour.
Les 3 premieres lignes sont des exemples : les supprimer avant exploitation.</t>
        </r>
      </text>
    </comment>
    <comment ref="C4" authorId="0">
      <text>
        <r>
          <rPr>
            <sz val="10"/>
            <rFont val="Arial"/>
            <family val="2"/>
          </rPr>
          <t xml:space="preserve">Liste deroulante : avril 2027 -&gt; mars 2028.</t>
        </r>
      </text>
    </comment>
    <comment ref="C5" authorId="0">
      <text>
        <r>
          <rPr>
            <sz val="10"/>
            <rFont val="Arial"/>
            <family val="2"/>
          </rPr>
          <t xml:space="preserve">Liste deroulante : les 12 routes exploitees.</t>
        </r>
      </text>
    </comment>
  </commentList>
</comments>
</file>

<file path=xl/sharedStrings.xml><?xml version="1.0" encoding="utf-8"?>
<sst xmlns="http://schemas.openxmlformats.org/spreadsheetml/2006/main" count="174" uniqueCount="102">
  <si>
    <t xml:space="preserve">PROGRAMME DE VOLS MENSUEL - ANNEE D'EXPLOITATION AVRIL 2027 / MARS 2028</t>
  </si>
  <si>
    <t xml:space="preserve">Feuille unique : les deux filtres ci-dessous (Mois et Route) pilotent la grille, le recapitulatif ne suit que le filtre Mois. Chaque route a une semaine type de 2 vols possibles par jour, chacun avec son propre type avion (2 types differents le meme jour sont donc possibles), a laquelle s'ajoutent les vols additionnels dates saisis en bas de feuille. Tout est calcule par formule.</t>
  </si>
  <si>
    <t xml:space="preserve">REPERES CALCULES</t>
  </si>
  <si>
    <t xml:space="preserve">FILTRE  MOIS</t>
  </si>
  <si>
    <t xml:space="preserve">avril 2027</t>
  </si>
  <si>
    <t xml:space="preserve">&lt;-- liste deroulante : pilote la grille ET le recapitulatif</t>
  </si>
  <si>
    <t xml:space="preserve">1er jour du mois</t>
  </si>
  <si>
    <t xml:space="preserve">FILTRE  ROUTE</t>
  </si>
  <si>
    <t xml:space="preserve">NOSRUN</t>
  </si>
  <si>
    <t xml:space="preserve">&lt;-- liste deroulante : pilote la grille uniquement</t>
  </si>
  <si>
    <t xml:space="preserve">Dernier jour du mois</t>
  </si>
  <si>
    <t xml:space="preserve">GRILLE MENSUELLE  -  type avion opere par semaine et par jour (filtres Mois + Route)</t>
  </si>
  <si>
    <t xml:space="preserve">Lundi semaine 1</t>
  </si>
  <si>
    <t xml:space="preserve">Semaine</t>
  </si>
  <si>
    <t xml:space="preserve">J1 - Lundi</t>
  </si>
  <si>
    <t xml:space="preserve">J2 - Mardi</t>
  </si>
  <si>
    <t xml:space="preserve">J3 - Mercredi</t>
  </si>
  <si>
    <t xml:space="preserve">J4 - Jeudi</t>
  </si>
  <si>
    <t xml:space="preserve">J5 - Vendredi</t>
  </si>
  <si>
    <t xml:space="preserve">J6 - Samedi</t>
  </si>
  <si>
    <t xml:space="preserve">J7 - Dimanche</t>
  </si>
  <si>
    <t xml:space="preserve">Type(s) avion</t>
  </si>
  <si>
    <t xml:space="preserve">Semaine 1</t>
  </si>
  <si>
    <t xml:space="preserve">Rotations / semaine</t>
  </si>
  <si>
    <t xml:space="preserve">Total rotations mois</t>
  </si>
  <si>
    <t xml:space="preserve">Semaine 2</t>
  </si>
  <si>
    <t xml:space="preserve">SEMAINE TYPE DE LA ROUTE FILTREE (auto - alimente la grille)</t>
  </si>
  <si>
    <t xml:space="preserve">Jour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</si>
  <si>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</si>
  <si>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</si>
  <si>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</si>
  <si>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</si>
  <si>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</si>
  <si>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</si>
  <si>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</si>
  <si>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Semaine 3</t>
  </si>
  <si>
    <t xml:space="preserve">Vol 1</t>
  </si>
  <si>
    <t xml:space="preserve">Vol 2</t>
  </si>
  <si>
    <t xml:space="preserve">Semaine 4</t>
  </si>
  <si>
    <t xml:space="preserve">Semaine 5</t>
  </si>
  <si>
    <t xml:space="preserve">Semaine 6</t>
  </si>
  <si>
    <t xml:space="preserve">Occurrences du jour dans le mois</t>
  </si>
  <si>
    <t xml:space="preserve">Nb de semaines calendaires du mois</t>
  </si>
  <si>
    <t xml:space="preserve">Lecture : "778" = 1 vol de la semaine type  |  "77W/778" = 2 vols le meme jour  |  "778 (+A320)" = semaine type + vol additionnel (bordure rouge)  |  "(+A320)" = vol additionnel seul. Semaines partielles incluses.</t>
  </si>
  <si>
    <t xml:space="preserve">RECAPITULATIF MENSUEL - TOUTES ROUTES  (depend uniquement du filtre Mois)</t>
  </si>
  <si>
    <t xml:space="preserve">Route</t>
  </si>
  <si>
    <t xml:space="preserve">Semaine type (jours J1-J7)</t>
  </si>
  <si>
    <t xml:space="preserve">Rotations/semaine</t>
  </si>
  <si>
    <t xml:space="preserve">Nb de semaines/occurrences dans le mois</t>
  </si>
  <si>
    <t xml:space="preserve">Total rotations du mois</t>
  </si>
  <si>
    <t xml:space="preserve">dont semaine type</t>
  </si>
  <si>
    <t xml:space="preserve">dont vols additionnels</t>
  </si>
  <si>
    <t xml:space="preserve">Total 77W</t>
  </si>
  <si>
    <t xml:space="preserve">Total 778</t>
  </si>
  <si>
    <t xml:space="preserve">Total A320</t>
  </si>
  <si>
    <t xml:space="preserve">TOTAL GENERAL</t>
  </si>
  <si>
    <t xml:space="preserve">Methode : pour chaque jour opere de la semaine type, le nombre d'occurrences de ce jour dans le mois est compte a partir des dates reelles de la grille (ligne "Occurrences du jour dans le mois", semaines partielles incluses), vol 1 et vol 2 comptes separement. Total rotations du mois = semaine type + vols additionnels dates du mois. La colonne "Nb de semaines/occurrences" indique le nombre de semaines calendaires couvertes par le mois ; les colonnes Total 77W / 778 / A320 ventilent le total du mois par type avion.</t>
  </si>
  <si>
    <t xml:space="preserve">1) SEMAINES TYPES PAR ROUTE (saisie unique, valable pour les 12 mois)</t>
  </si>
  <si>
    <t xml:space="preserve">Cellules en BLEU = saisie utilisateur. Chaque route occupe 2 lignes : le VOL 1 et le VOL 2 de la journee. Pour chaque jour J1-J7, choisir dans la liste deroulante le TYPE AVION opere (77W / 778 / A320), ou laisser vide s'il n'y a pas de vol. Renseigner les deux lignes pour un jour = 2 rotations ce jour-la, avec le meme type ou deux types differents (ex. CDGRUN le lundi : 77W + 778). Toute modification recalcule immediatement la grille et le recapitulatif, pour les 12 mois. Valeurs livrees = exemples a ajuster (NOSRUN = 3/7 en A320 sur J1/J4/J6, conforme a l'exemple fourni).</t>
  </si>
  <si>
    <t xml:space="preserve">Route / vol du jour</t>
  </si>
  <si>
    <t xml:space="preserve">Rot./sem. (auto)</t>
  </si>
  <si>
    <t xml:space="preserve">Type(s) avion (auto)</t>
  </si>
  <si>
    <t xml:space="preserve">Couleur</t>
  </si>
  <si>
    <t xml:space="preserve">Mois (liste)</t>
  </si>
  <si>
    <t xml:space="preserve">1er jour</t>
  </si>
  <si>
    <t xml:space="preserve">Types avion</t>
  </si>
  <si>
    <t xml:space="preserve">CDGRUN</t>
  </si>
  <si>
    <t xml:space="preserve">77W</t>
  </si>
  <si>
    <t xml:space="preserve">      + vol 2 du jour</t>
  </si>
  <si>
    <t xml:space="preserve">778</t>
  </si>
  <si>
    <t xml:space="preserve">mai 2027</t>
  </si>
  <si>
    <t xml:space="preserve">CDGDZA</t>
  </si>
  <si>
    <t xml:space="preserve">juin 2027</t>
  </si>
  <si>
    <t xml:space="preserve">A320</t>
  </si>
  <si>
    <t xml:space="preserve">juillet 2027</t>
  </si>
  <si>
    <t xml:space="preserve">BKKRUN</t>
  </si>
  <si>
    <t xml:space="preserve">aout 2027</t>
  </si>
  <si>
    <t xml:space="preserve">septembre 2027</t>
  </si>
  <si>
    <t xml:space="preserve">DZARUN</t>
  </si>
  <si>
    <t xml:space="preserve">octobre 2027</t>
  </si>
  <si>
    <t xml:space="preserve">novembre 2027</t>
  </si>
  <si>
    <t xml:space="preserve">MRURUN</t>
  </si>
  <si>
    <t xml:space="preserve">decembre 2027</t>
  </si>
  <si>
    <t xml:space="preserve">janvier 2028</t>
  </si>
  <si>
    <t xml:space="preserve">fevrier 2028</t>
  </si>
  <si>
    <t xml:space="preserve">mars 2028</t>
  </si>
  <si>
    <t xml:space="preserve">RUNTNR</t>
  </si>
  <si>
    <t xml:space="preserve">JNBRUN</t>
  </si>
  <si>
    <t xml:space="preserve">CPTRUN</t>
  </si>
  <si>
    <t xml:space="preserve">DIERUN</t>
  </si>
  <si>
    <t xml:space="preserve">RRGRUN</t>
  </si>
  <si>
    <t xml:space="preserve">TMMRUN</t>
  </si>
  <si>
    <t xml:space="preserve">2) VOLS ADDITIONNELS (en plus de la semaine type)</t>
  </si>
  <si>
    <t xml:space="preserve">Une ligne = un vol supplementaire date (charter, renfort saisonnier, fret...). Il s'ajoute a la semaine type de la route, sur n'importe quel jour, y compris un jour deja opere ou un jour hors semaine type. Il apparait dans la grille entre parentheses avec un + et une bordure rouge, et il est compte dans le recapitulatif du mois concerne.</t>
  </si>
  <si>
    <t xml:space="preserve">Date du vol</t>
  </si>
  <si>
    <t xml:space="preserve">Type avion</t>
  </si>
  <si>
    <t xml:space="preserve">Nb de rotations</t>
  </si>
  <si>
    <t xml:space="preserve">Commentaire (libre)</t>
  </si>
  <si>
    <t xml:space="preserve">Cle technique (auto)</t>
  </si>
  <si>
    <t xml:space="preserve">EXEMPLE a supprimer - vol supplementaire un mercredi (jour hors semaine type)</t>
  </si>
  <si>
    <t xml:space="preserve">EXEMPLE a supprimer - rotation doublee un samedi (jour deja opere)</t>
  </si>
  <si>
    <t xml:space="preserve">EXEMPLE a supprimer - 2 rotations fret supplementaires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</si>
</sst>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dd/mm"/>
    <numFmt numFmtId="168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833C0C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sz val="1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2F5597"/>
        <bgColor rgb="FF2E75B6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833C0C"/>
        <bgColor rgb="FF993366"/>
      </patternFill>
    </fill>
    <fill>
      <patternFill patternType="solid">
        <fgColor rgb="FF9DC3E6"/>
        <bgColor rgb="FF8FAADC"/>
      </patternFill>
    </fill>
    <fill>
      <patternFill patternType="solid">
        <fgColor rgb="FF2E75B6"/>
        <bgColor rgb="FF2F5597"/>
      </patternFill>
    </fill>
    <fill>
      <patternFill patternType="solid">
        <fgColor rgb="FFFFE699"/>
        <bgColor rgb="FFFFF2CC"/>
      </patternFill>
    </fill>
    <fill>
      <patternFill patternType="solid">
        <fgColor rgb="FFF4B183"/>
        <bgColor rgb="FFD5A6BD"/>
      </patternFill>
    </fill>
    <fill>
      <patternFill patternType="solid">
        <fgColor rgb="FFC6E0B4"/>
        <bgColor rgb="FFB7DEE8"/>
      </patternFill>
    </fill>
    <fill>
      <patternFill patternType="solid">
        <fgColor rgb="FFFFD966"/>
        <bgColor rgb="FFFFE699"/>
      </patternFill>
    </fill>
    <fill>
      <patternFill patternType="solid">
        <fgColor rgb="FFD9D2E9"/>
        <bgColor rgb="FFD9E2F3"/>
      </patternFill>
    </fill>
    <fill>
      <patternFill patternType="solid">
        <fgColor rgb="FFA9D08E"/>
        <bgColor rgb="FFC6E0B4"/>
      </patternFill>
    </fill>
    <fill>
      <patternFill patternType="solid">
        <fgColor rgb="FF8FAADC"/>
        <bgColor rgb="FF9DC3E6"/>
      </patternFill>
    </fill>
    <fill>
      <patternFill patternType="solid">
        <fgColor rgb="FFFFC7CE"/>
        <bgColor rgb="FFD9D2E9"/>
      </patternFill>
    </fill>
    <fill>
      <patternFill patternType="solid">
        <fgColor rgb="FFB7DEE8"/>
        <bgColor rgb="FFC6E0B4"/>
      </patternFill>
    </fill>
    <fill>
      <patternFill patternType="solid">
        <fgColor rgb="FFD5A6BD"/>
        <bgColor rgb="FFA6A6A6"/>
      </patternFill>
    </fill>
    <fill>
      <patternFill patternType="solid">
        <fgColor rgb="FFA6A6A6"/>
        <bgColor rgb="FF8FAA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000000"/>
        <sz val="10"/>
      </font>
      <fill>
        <patternFill>
          <bgColor rgb="FF9DC3E6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9D2E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A9D08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8FAADC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B7DEE8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5A6B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8FAADC"/>
      <rgbColor rgb="FF993366"/>
      <rgbColor rgb="FFFFF2CC"/>
      <rgbColor rgb="FFF2F2F2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0B4"/>
      <rgbColor rgb="FFFFE699"/>
      <rgbColor rgb="FF9DC3E6"/>
      <rgbColor rgb="FFF4B183"/>
      <rgbColor rgb="FFB7DEE8"/>
      <rgbColor rgb="FFFFC7CE"/>
      <rgbColor rgb="FF2E75B6"/>
      <rgbColor rgb="FF33CCCC"/>
      <rgbColor rgb="FFA9D08E"/>
      <rgbColor rgb="FFFFD966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833C0C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U1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6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3"/>
    <col collapsed="false" customWidth="true" hidden="false" outlineLevel="0" max="14" min="14" style="0" width="22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21" min="17" style="0" width="9"/>
  </cols>
  <sheetData>
    <row r="1" customFormat="false" ht="30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N3" s="3" t="s">
        <v>2</v>
      </c>
      <c r="O3" s="3"/>
    </row>
    <row r="4" customFormat="false" ht="15" hidden="false" customHeight="false" outlineLevel="0" collapsed="false">
      <c r="B4" s="4" t="s">
        <v>3</v>
      </c>
      <c r="C4" s="5" t="s">
        <v>4</v>
      </c>
      <c r="D4" s="5"/>
      <c r="E4" s="6" t="s">
        <v>5</v>
      </c>
      <c r="N4" s="7" t="s">
        <v>6</v>
      </c>
      <c r="O4" s="8" t="n">
        <f aca="false">INDEX($O$45:$O$56,MATCH($C$4,$N$45:$N$56,0))</f>
        <v>46478</v>
      </c>
    </row>
    <row r="5" customFormat="false" ht="15" hidden="false" customHeight="false" outlineLevel="0" collapsed="false">
      <c r="B5" s="4" t="s">
        <v>7</v>
      </c>
      <c r="C5" s="5" t="s">
        <v>8</v>
      </c>
      <c r="D5" s="5"/>
      <c r="E5" s="6" t="s">
        <v>9</v>
      </c>
      <c r="N5" s="7" t="s">
        <v>10</v>
      </c>
      <c r="O5" s="8" t="n">
        <f aca="false">EOMONTH($O$4,0)</f>
        <v>46507</v>
      </c>
    </row>
    <row r="6" customFormat="false" ht="15" hidden="false" customHeight="false" outlineLevel="0" collapsed="false">
      <c r="B6" s="9" t="s">
        <v>11</v>
      </c>
      <c r="C6" s="9"/>
      <c r="D6" s="9"/>
      <c r="E6" s="9"/>
      <c r="F6" s="9"/>
      <c r="G6" s="9"/>
      <c r="H6" s="9"/>
      <c r="I6" s="9"/>
      <c r="N6" s="7" t="s">
        <v>12</v>
      </c>
      <c r="O6" s="8" t="n">
        <f aca="false">$O$4-WEEKDAY($O$4,3)</f>
        <v>46475</v>
      </c>
    </row>
    <row r="7" customFormat="false" ht="15" hidden="false" customHeight="false" outlineLevel="0" collapsed="false">
      <c r="B7" s="10" t="s">
        <v>13</v>
      </c>
      <c r="C7" s="10" t="s">
        <v>14</v>
      </c>
      <c r="D7" s="10" t="s">
        <v>15</v>
      </c>
      <c r="E7" s="10" t="s">
        <v>16</v>
      </c>
      <c r="F7" s="10" t="s">
        <v>17</v>
      </c>
      <c r="G7" s="10" t="s">
        <v>18</v>
      </c>
      <c r="H7" s="10" t="s">
        <v>19</v>
      </c>
      <c r="I7" s="10" t="s">
        <v>20</v>
      </c>
      <c r="N7" s="7" t="s">
        <v>21</v>
      </c>
      <c r="O7" s="11" t="str">
        <f aca="false">IFERROR(INDEX($C$25:$C$36,MATCH($C$5,$B$25:$B$36,0)),"")</f>
        <v>A320(3)</v>
      </c>
    </row>
    <row r="8" customFormat="false" ht="21.75" hidden="false" customHeight="true" outlineLevel="0" collapsed="false">
      <c r="B8" s="12" t="s">
        <v>22</v>
      </c>
      <c r="C8" s="13" t="str">
        <f aca="false">IF(C9="","",TRIM(O$12&amp;IF(AND(O$12&lt;&gt;"",O$13&lt;&gt;""),"/","")&amp;O$13&amp;IF(SUMIFS($E$75:$E$114,$C$75:$C$114,$C$5,$B$75:$B$114,C9)=0,""," (+"&amp;IF(COUNTIFS($C$75:$C$114,$C$5,$B$75:$B$114,C9)=1,IF(SUMIFS($E$75:$E$114,$C$75:$C$114,$C$5,$B$75:$B$114,C9)=1,IFERROR(INDEX($D$75:$D$114,MATCH(C9&amp;"|"&amp;$C$5,$J$75:$J$114,0)),""),SUMIFS($E$75:$E$114,$C$75:$C$114,$C$5,$B$75:$B$114,C9)&amp;"x"&amp;IFERROR(INDEX($D$75:$D$114,MATCH(C9&amp;"|"&amp;$C$5,$J$75:$J$114,0)),"")),SUMIFS($E$75:$E$114,$C$75:$C$114,$C$5,$B$75:$B$114,C9)&amp;" vols")&amp;")")))</f>
        <v/>
      </c>
      <c r="D8" s="13" t="str">
        <f aca="false">IF(D9="","",TRIM(P$12&amp;IF(AND(P$12&lt;&gt;"",P$13&lt;&gt;""),"/","")&amp;P$13&amp;IF(SUMIFS($E$75:$E$114,$C$75:$C$114,$C$5,$B$75:$B$114,D9)=0,""," (+"&amp;IF(COUNTIFS($C$75:$C$114,$C$5,$B$75:$B$114,D9)=1,IF(SUMIFS($E$75:$E$114,$C$75:$C$114,$C$5,$B$75:$B$114,D9)=1,IFERROR(INDEX($D$75:$D$114,MATCH(D9&amp;"|"&amp;$C$5,$J$75:$J$114,0)),""),SUMIFS($E$75:$E$114,$C$75:$C$114,$C$5,$B$75:$B$114,D9)&amp;"x"&amp;IFERROR(INDEX($D$75:$D$114,MATCH(D9&amp;"|"&amp;$C$5,$J$75:$J$114,0)),"")),SUMIFS($E$75:$E$114,$C$75:$C$114,$C$5,$B$75:$B$114,D9)&amp;" vols")&amp;")")))</f>
        <v/>
      </c>
      <c r="E8" s="13" t="str">
        <f aca="false">IF(E9="","",TRIM(Q$12&amp;IF(AND(Q$12&lt;&gt;"",Q$13&lt;&gt;""),"/","")&amp;Q$13&amp;IF(SUMIFS($E$75:$E$114,$C$75:$C$114,$C$5,$B$75:$B$114,E9)=0,""," (+"&amp;IF(COUNTIFS($C$75:$C$114,$C$5,$B$75:$B$114,E9)=1,IF(SUMIFS($E$75:$E$114,$C$75:$C$114,$C$5,$B$75:$B$114,E9)=1,IFERROR(INDEX($D$75:$D$114,MATCH(E9&amp;"|"&amp;$C$5,$J$75:$J$114,0)),""),SUMIFS($E$75:$E$114,$C$75:$C$114,$C$5,$B$75:$B$114,E9)&amp;"x"&amp;IFERROR(INDEX($D$75:$D$114,MATCH(E9&amp;"|"&amp;$C$5,$J$75:$J$114,0)),"")),SUMIFS($E$75:$E$114,$C$75:$C$114,$C$5,$B$75:$B$114,E9)&amp;" vols")&amp;")")))</f>
        <v/>
      </c>
      <c r="F8" s="13" t="str">
        <f aca="false">IF(F9="","",TRIM(R$12&amp;IF(AND(R$12&lt;&gt;"",R$13&lt;&gt;""),"/","")&amp;R$13&amp;IF(SUMIFS($E$75:$E$114,$C$75:$C$114,$C$5,$B$75:$B$114,F9)=0,""," (+"&amp;IF(COUNTIFS($C$75:$C$114,$C$5,$B$75:$B$114,F9)=1,IF(SUMIFS($E$75:$E$114,$C$75:$C$114,$C$5,$B$75:$B$114,F9)=1,IFERROR(INDEX($D$75:$D$114,MATCH(F9&amp;"|"&amp;$C$5,$J$75:$J$114,0)),""),SUMIFS($E$75:$E$114,$C$75:$C$114,$C$5,$B$75:$B$114,F9)&amp;"x"&amp;IFERROR(INDEX($D$75:$D$114,MATCH(F9&amp;"|"&amp;$C$5,$J$75:$J$114,0)),"")),SUMIFS($E$75:$E$114,$C$75:$C$114,$C$5,$B$75:$B$114,F9)&amp;" vols")&amp;")")))</f>
        <v>A320</v>
      </c>
      <c r="G8" s="13" t="str">
        <f aca="false">IF(G9="","",TRIM(S$12&amp;IF(AND(S$12&lt;&gt;"",S$13&lt;&gt;""),"/","")&amp;S$13&amp;IF(SUMIFS($E$75:$E$114,$C$75:$C$114,$C$5,$B$75:$B$114,G9)=0,""," (+"&amp;IF(COUNTIFS($C$75:$C$114,$C$5,$B$75:$B$114,G9)=1,IF(SUMIFS($E$75:$E$114,$C$75:$C$114,$C$5,$B$75:$B$114,G9)=1,IFERROR(INDEX($D$75:$D$114,MATCH(G9&amp;"|"&amp;$C$5,$J$75:$J$114,0)),""),SUMIFS($E$75:$E$114,$C$75:$C$114,$C$5,$B$75:$B$114,G9)&amp;"x"&amp;IFERROR(INDEX($D$75:$D$114,MATCH(G9&amp;"|"&amp;$C$5,$J$75:$J$114,0)),"")),SUMIFS($E$75:$E$114,$C$75:$C$114,$C$5,$B$75:$B$114,G9)&amp;" vols")&amp;")")))</f>
        <v/>
      </c>
      <c r="H8" s="13" t="str">
        <f aca="false">IF(H9="","",TRIM(T$12&amp;IF(AND(T$12&lt;&gt;"",T$13&lt;&gt;""),"/","")&amp;T$13&amp;IF(SUMIFS($E$75:$E$114,$C$75:$C$114,$C$5,$B$75:$B$114,H9)=0,""," (+"&amp;IF(COUNTIFS($C$75:$C$114,$C$5,$B$75:$B$114,H9)=1,IF(SUMIFS($E$75:$E$114,$C$75:$C$114,$C$5,$B$75:$B$114,H9)=1,IFERROR(INDEX($D$75:$D$114,MATCH(H9&amp;"|"&amp;$C$5,$J$75:$J$114,0)),""),SUMIFS($E$75:$E$114,$C$75:$C$114,$C$5,$B$75:$B$114,H9)&amp;"x"&amp;IFERROR(INDEX($D$75:$D$114,MATCH(H9&amp;"|"&amp;$C$5,$J$75:$J$114,0)),"")),SUMIFS($E$75:$E$114,$C$75:$C$114,$C$5,$B$75:$B$114,H9)&amp;" vols")&amp;")")))</f>
        <v>A320</v>
      </c>
      <c r="I8" s="13" t="str">
        <f aca="false">IF(I9="","",TRIM(U$12&amp;IF(AND(U$12&lt;&gt;"",U$13&lt;&gt;""),"/","")&amp;U$13&amp;IF(SUMIFS($E$75:$E$114,$C$75:$C$114,$C$5,$B$75:$B$114,I9)=0,""," (+"&amp;IF(COUNTIFS($C$75:$C$114,$C$5,$B$75:$B$114,I9)=1,IF(SUMIFS($E$75:$E$114,$C$75:$C$114,$C$5,$B$75:$B$114,I9)=1,IFERROR(INDEX($D$75:$D$114,MATCH(I9&amp;"|"&amp;$C$5,$J$75:$J$114,0)),""),SUMIFS($E$75:$E$114,$C$75:$C$114,$C$5,$B$75:$B$114,I9)&amp;"x"&amp;IFERROR(INDEX($D$75:$D$114,MATCH(I9&amp;"|"&amp;$C$5,$J$75:$J$114,0)),"")),SUMIFS($E$75:$E$114,$C$75:$C$114,$C$5,$B$75:$B$114,I9)&amp;" vols")&amp;")")))</f>
        <v/>
      </c>
      <c r="N8" s="7" t="s">
        <v>23</v>
      </c>
      <c r="O8" s="14" t="n">
        <f aca="false">IFERROR(INDEX($E$25:$E$36,MATCH($C$5,$B$25:$B$36,0)),"")</f>
        <v>3</v>
      </c>
    </row>
    <row r="9" customFormat="false" ht="13.5" hidden="false" customHeight="true" outlineLevel="0" collapsed="false">
      <c r="B9" s="15" t="str">
        <f aca="false">IF(COUNT(C9:I9)=0,"","du "&amp;TEXT(MIN(C9:I9),"DD/MM")&amp;" au "&amp;TEXT(MAX(C9:I9),"DD/MM"))</f>
        <v>du 01/04 au 04/04</v>
      </c>
      <c r="C9" s="16" t="str">
        <f aca="false">IF(OR($O$6+0&lt;$O$4,$O$6+0&gt;$O$5),"",$O$6+0)</f>
        <v/>
      </c>
      <c r="D9" s="16" t="str">
        <f aca="false">IF(OR($O$6+1&lt;$O$4,$O$6+1&gt;$O$5),"",$O$6+1)</f>
        <v/>
      </c>
      <c r="E9" s="16" t="str">
        <f aca="false">IF(OR($O$6+2&lt;$O$4,$O$6+2&gt;$O$5),"",$O$6+2)</f>
        <v/>
      </c>
      <c r="F9" s="16" t="n">
        <f aca="false">IF(OR($O$6+3&lt;$O$4,$O$6+3&gt;$O$5),"",$O$6+3)</f>
        <v>46478</v>
      </c>
      <c r="G9" s="16" t="n">
        <f aca="false">IF(OR($O$6+4&lt;$O$4,$O$6+4&gt;$O$5),"",$O$6+4)</f>
        <v>46479</v>
      </c>
      <c r="H9" s="16" t="n">
        <f aca="false">IF(OR($O$6+5&lt;$O$4,$O$6+5&gt;$O$5),"",$O$6+5)</f>
        <v>46480</v>
      </c>
      <c r="I9" s="16" t="n">
        <f aca="false">IF(OR($O$6+6&lt;$O$4,$O$6+6&gt;$O$5),"",$O$6+6)</f>
        <v>46481</v>
      </c>
      <c r="N9" s="7" t="s">
        <v>24</v>
      </c>
      <c r="O9" s="14" t="n">
        <f aca="false">IFERROR(INDEX($G$25:$G$36,MATCH($C$5,$B$25:$B$36,0)),"")</f>
        <v>15</v>
      </c>
    </row>
    <row r="10" customFormat="false" ht="21.75" hidden="false" customHeight="true" outlineLevel="0" collapsed="false">
      <c r="B10" s="12" t="s">
        <v>25</v>
      </c>
      <c r="C10" s="13" t="str">
        <f aca="false">IF(C11="","",TRIM(O$12&amp;IF(AND(O$12&lt;&gt;"",O$13&lt;&gt;""),"/","")&amp;O$13&amp;IF(SUMIFS($E$75:$E$114,$C$75:$C$114,$C$5,$B$75:$B$114,C11)=0,""," (+"&amp;IF(COUNTIFS($C$75:$C$114,$C$5,$B$75:$B$114,C11)=1,IF(SUMIFS($E$75:$E$114,$C$75:$C$114,$C$5,$B$75:$B$114,C11)=1,IFERROR(INDEX($D$75:$D$114,MATCH(C11&amp;"|"&amp;$C$5,$J$75:$J$114,0)),""),SUMIFS($E$75:$E$114,$C$75:$C$114,$C$5,$B$75:$B$114,C11)&amp;"x"&amp;IFERROR(INDEX($D$75:$D$114,MATCH(C11&amp;"|"&amp;$C$5,$J$75:$J$114,0)),"")),SUMIFS($E$75:$E$114,$C$75:$C$114,$C$5,$B$75:$B$114,C11)&amp;" vols")&amp;")")))</f>
        <v>A320</v>
      </c>
      <c r="D10" s="13" t="str">
        <f aca="false">IF(D11="","",TRIM(P$12&amp;IF(AND(P$12&lt;&gt;"",P$13&lt;&gt;""),"/","")&amp;P$13&amp;IF(SUMIFS($E$75:$E$114,$C$75:$C$114,$C$5,$B$75:$B$114,D11)=0,""," (+"&amp;IF(COUNTIFS($C$75:$C$114,$C$5,$B$75:$B$114,D11)=1,IF(SUMIFS($E$75:$E$114,$C$75:$C$114,$C$5,$B$75:$B$114,D11)=1,IFERROR(INDEX($D$75:$D$114,MATCH(D11&amp;"|"&amp;$C$5,$J$75:$J$114,0)),""),SUMIFS($E$75:$E$114,$C$75:$C$114,$C$5,$B$75:$B$114,D11)&amp;"x"&amp;IFERROR(INDEX($D$75:$D$114,MATCH(D11&amp;"|"&amp;$C$5,$J$75:$J$114,0)),"")),SUMIFS($E$75:$E$114,$C$75:$C$114,$C$5,$B$75:$B$114,D11)&amp;" vols")&amp;")")))</f>
        <v/>
      </c>
      <c r="E10" s="13" t="str">
        <f aca="false">IF(E11="","",TRIM(Q$12&amp;IF(AND(Q$12&lt;&gt;"",Q$13&lt;&gt;""),"/","")&amp;Q$13&amp;IF(SUMIFS($E$75:$E$114,$C$75:$C$114,$C$5,$B$75:$B$114,E11)=0,""," (+"&amp;IF(COUNTIFS($C$75:$C$114,$C$5,$B$75:$B$114,E11)=1,IF(SUMIFS($E$75:$E$114,$C$75:$C$114,$C$5,$B$75:$B$114,E11)=1,IFERROR(INDEX($D$75:$D$114,MATCH(E11&amp;"|"&amp;$C$5,$J$75:$J$114,0)),""),SUMIFS($E$75:$E$114,$C$75:$C$114,$C$5,$B$75:$B$114,E11)&amp;"x"&amp;IFERROR(INDEX($D$75:$D$114,MATCH(E11&amp;"|"&amp;$C$5,$J$75:$J$114,0)),"")),SUMIFS($E$75:$E$114,$C$75:$C$114,$C$5,$B$75:$B$114,E11)&amp;" vols")&amp;")")))</f>
        <v>(+A320)</v>
      </c>
      <c r="F10" s="13" t="str">
        <f aca="false">IF(F11="","",TRIM(R$12&amp;IF(AND(R$12&lt;&gt;"",R$13&lt;&gt;""),"/","")&amp;R$13&amp;IF(SUMIFS($E$75:$E$114,$C$75:$C$114,$C$5,$B$75:$B$114,F11)=0,""," (+"&amp;IF(COUNTIFS($C$75:$C$114,$C$5,$B$75:$B$114,F11)=1,IF(SUMIFS($E$75:$E$114,$C$75:$C$114,$C$5,$B$75:$B$114,F11)=1,IFERROR(INDEX($D$75:$D$114,MATCH(F11&amp;"|"&amp;$C$5,$J$75:$J$114,0)),""),SUMIFS($E$75:$E$114,$C$75:$C$114,$C$5,$B$75:$B$114,F11)&amp;"x"&amp;IFERROR(INDEX($D$75:$D$114,MATCH(F11&amp;"|"&amp;$C$5,$J$75:$J$114,0)),"")),SUMIFS($E$75:$E$114,$C$75:$C$114,$C$5,$B$75:$B$114,F11)&amp;" vols")&amp;")")))</f>
        <v>A320</v>
      </c>
      <c r="G10" s="13" t="str">
        <f aca="false">IF(G11="","",TRIM(S$12&amp;IF(AND(S$12&lt;&gt;"",S$13&lt;&gt;""),"/","")&amp;S$13&amp;IF(SUMIFS($E$75:$E$114,$C$75:$C$114,$C$5,$B$75:$B$114,G11)=0,""," (+"&amp;IF(COUNTIFS($C$75:$C$114,$C$5,$B$75:$B$114,G11)=1,IF(SUMIFS($E$75:$E$114,$C$75:$C$114,$C$5,$B$75:$B$114,G11)=1,IFERROR(INDEX($D$75:$D$114,MATCH(G11&amp;"|"&amp;$C$5,$J$75:$J$114,0)),""),SUMIFS($E$75:$E$114,$C$75:$C$114,$C$5,$B$75:$B$114,G11)&amp;"x"&amp;IFERROR(INDEX($D$75:$D$114,MATCH(G11&amp;"|"&amp;$C$5,$J$75:$J$114,0)),"")),SUMIFS($E$75:$E$114,$C$75:$C$114,$C$5,$B$75:$B$114,G11)&amp;" vols")&amp;")")))</f>
        <v/>
      </c>
      <c r="H10" s="13" t="str">
        <f aca="false">IF(H11="","",TRIM(T$12&amp;IF(AND(T$12&lt;&gt;"",T$13&lt;&gt;""),"/","")&amp;T$13&amp;IF(SUMIFS($E$75:$E$114,$C$75:$C$114,$C$5,$B$75:$B$114,H11)=0,""," (+"&amp;IF(COUNTIFS($C$75:$C$114,$C$5,$B$75:$B$114,H11)=1,IF(SUMIFS($E$75:$E$114,$C$75:$C$114,$C$5,$B$75:$B$114,H11)=1,IFERROR(INDEX($D$75:$D$114,MATCH(H11&amp;"|"&amp;$C$5,$J$75:$J$114,0)),""),SUMIFS($E$75:$E$114,$C$75:$C$114,$C$5,$B$75:$B$114,H11)&amp;"x"&amp;IFERROR(INDEX($D$75:$D$114,MATCH(H11&amp;"|"&amp;$C$5,$J$75:$J$114,0)),"")),SUMIFS($E$75:$E$114,$C$75:$C$114,$C$5,$B$75:$B$114,H11)&amp;" vols")&amp;")")))</f>
        <v>A320 (+A320)</v>
      </c>
      <c r="I10" s="13" t="str">
        <f aca="false">IF(I11="","",TRIM(U$12&amp;IF(AND(U$12&lt;&gt;"",U$13&lt;&gt;""),"/","")&amp;U$13&amp;IF(SUMIFS($E$75:$E$114,$C$75:$C$114,$C$5,$B$75:$B$114,I11)=0,""," (+"&amp;IF(COUNTIFS($C$75:$C$114,$C$5,$B$75:$B$114,I11)=1,IF(SUMIFS($E$75:$E$114,$C$75:$C$114,$C$5,$B$75:$B$114,I11)=1,IFERROR(INDEX($D$75:$D$114,MATCH(I11&amp;"|"&amp;$C$5,$J$75:$J$114,0)),""),SUMIFS($E$75:$E$114,$C$75:$C$114,$C$5,$B$75:$B$114,I11)&amp;"x"&amp;IFERROR(INDEX($D$75:$D$114,MATCH(I11&amp;"|"&amp;$C$5,$J$75:$J$114,0)),"")),SUMIFS($E$75:$E$114,$C$75:$C$114,$C$5,$B$75:$B$114,I11)&amp;" vols")&amp;")")))</f>
        <v/>
      </c>
      <c r="N10" s="17" t="s">
        <v>26</v>
      </c>
      <c r="O10" s="17"/>
      <c r="P10" s="17"/>
      <c r="Q10" s="17"/>
      <c r="R10" s="17"/>
      <c r="S10" s="17"/>
      <c r="T10" s="17"/>
      <c r="U10" s="17"/>
    </row>
    <row r="11" customFormat="false" ht="13.5" hidden="false" customHeight="true" outlineLevel="0" collapsed="false">
      <c r="B11" s="15" t="str">
        <f aca="false">IF(COUNT(C11:I11)=0,"","du "&amp;TEXT(MIN(C11:I11),"DD/MM")&amp;" au "&amp;TEXT(MAX(C11:I11),"DD/MM"))</f>
        <v>du 05/04 au 11/04</v>
      </c>
      <c r="C11" s="16" t="n">
        <f aca="false">IF(OR($O$6+7&lt;$O$4,$O$6+7&gt;$O$5),"",$O$6+7)</f>
        <v>46482</v>
      </c>
      <c r="D11" s="16" t="n">
        <f aca="false">IF(OR($O$6+8&lt;$O$4,$O$6+8&gt;$O$5),"",$O$6+8)</f>
        <v>46483</v>
      </c>
      <c r="E11" s="16" t="n">
        <f aca="false">IF(OR($O$6+9&lt;$O$4,$O$6+9&gt;$O$5),"",$O$6+9)</f>
        <v>46484</v>
      </c>
      <c r="F11" s="16" t="n">
        <f aca="false">IF(OR($O$6+10&lt;$O$4,$O$6+10&gt;$O$5),"",$O$6+10)</f>
        <v>46485</v>
      </c>
      <c r="G11" s="16" t="n">
        <f aca="false">IF(OR($O$6+11&lt;$O$4,$O$6+11&gt;$O$5),"",$O$6+11)</f>
        <v>46486</v>
      </c>
      <c r="H11" s="16" t="n">
        <f aca="false">IF(OR($O$6+12&lt;$O$4,$O$6+12&gt;$O$5),"",$O$6+12)</f>
        <v>46487</v>
      </c>
      <c r="I11" s="16" t="n">
        <f aca="false">IF(OR($O$6+13&lt;$O$4,$O$6+13&gt;$O$5),"",$O$6+13)</f>
        <v>46488</v>
      </c>
      <c r="N11" s="18" t="s">
        <v>27</v>
      </c>
      <c r="O11" s="18" t="s">
        <v>28</v>
      </c>
      <c r="P11" s="18" t="s">
        <v>29</v>
      </c>
      <c r="Q11" s="18" t="s">
        <v>30</v>
      </c>
      <c r="R11" s="18" t="s">
        <v>31</v>
      </c>
      <c r="S11" s="18" t="s">
        <v>32</v>
      </c>
      <c r="T11" s="18" t="s">
        <v>33</v>
      </c>
      <c r="U11" s="18" t="s">
        <v>34</v>
      </c>
    </row>
    <row r="12" customFormat="false" ht="21.75" hidden="false" customHeight="true" outlineLevel="0" collapsed="false">
      <c r="B12" s="12" t="s">
        <v>35</v>
      </c>
      <c r="C12" s="13" t="str">
        <f aca="false">IF(C13="","",TRIM(O$12&amp;IF(AND(O$12&lt;&gt;"",O$13&lt;&gt;""),"/","")&amp;O$13&amp;IF(SUMIFS($E$75:$E$114,$C$75:$C$114,$C$5,$B$75:$B$114,C13)=0,""," (+"&amp;IF(COUNTIFS($C$75:$C$114,$C$5,$B$75:$B$114,C13)=1,IF(SUMIFS($E$75:$E$114,$C$75:$C$114,$C$5,$B$75:$B$114,C13)=1,IFERROR(INDEX($D$75:$D$114,MATCH(C13&amp;"|"&amp;$C$5,$J$75:$J$114,0)),""),SUMIFS($E$75:$E$114,$C$75:$C$114,$C$5,$B$75:$B$114,C13)&amp;"x"&amp;IFERROR(INDEX($D$75:$D$114,MATCH(C13&amp;"|"&amp;$C$5,$J$75:$J$114,0)),"")),SUMIFS($E$75:$E$114,$C$75:$C$114,$C$5,$B$75:$B$114,C13)&amp;" vols")&amp;")")))</f>
        <v>A320</v>
      </c>
      <c r="D12" s="13" t="str">
        <f aca="false">IF(D13="","",TRIM(P$12&amp;IF(AND(P$12&lt;&gt;"",P$13&lt;&gt;""),"/","")&amp;P$13&amp;IF(SUMIFS($E$75:$E$114,$C$75:$C$114,$C$5,$B$75:$B$114,D13)=0,""," (+"&amp;IF(COUNTIFS($C$75:$C$114,$C$5,$B$75:$B$114,D13)=1,IF(SUMIFS($E$75:$E$114,$C$75:$C$114,$C$5,$B$75:$B$114,D13)=1,IFERROR(INDEX($D$75:$D$114,MATCH(D13&amp;"|"&amp;$C$5,$J$75:$J$114,0)),""),SUMIFS($E$75:$E$114,$C$75:$C$114,$C$5,$B$75:$B$114,D13)&amp;"x"&amp;IFERROR(INDEX($D$75:$D$114,MATCH(D13&amp;"|"&amp;$C$5,$J$75:$J$114,0)),"")),SUMIFS($E$75:$E$114,$C$75:$C$114,$C$5,$B$75:$B$114,D13)&amp;" vols")&amp;")")))</f>
        <v/>
      </c>
      <c r="E12" s="13" t="str">
        <f aca="false">IF(E13="","",TRIM(Q$12&amp;IF(AND(Q$12&lt;&gt;"",Q$13&lt;&gt;""),"/","")&amp;Q$13&amp;IF(SUMIFS($E$75:$E$114,$C$75:$C$114,$C$5,$B$75:$B$114,E13)=0,""," (+"&amp;IF(COUNTIFS($C$75:$C$114,$C$5,$B$75:$B$114,E13)=1,IF(SUMIFS($E$75:$E$114,$C$75:$C$114,$C$5,$B$75:$B$114,E13)=1,IFERROR(INDEX($D$75:$D$114,MATCH(E13&amp;"|"&amp;$C$5,$J$75:$J$114,0)),""),SUMIFS($E$75:$E$114,$C$75:$C$114,$C$5,$B$75:$B$114,E13)&amp;"x"&amp;IFERROR(INDEX($D$75:$D$114,MATCH(E13&amp;"|"&amp;$C$5,$J$75:$J$114,0)),"")),SUMIFS($E$75:$E$114,$C$75:$C$114,$C$5,$B$75:$B$114,E13)&amp;" vols")&amp;")")))</f>
        <v/>
      </c>
      <c r="F12" s="13" t="str">
        <f aca="false">IF(F13="","",TRIM(R$12&amp;IF(AND(R$12&lt;&gt;"",R$13&lt;&gt;""),"/","")&amp;R$13&amp;IF(SUMIFS($E$75:$E$114,$C$75:$C$114,$C$5,$B$75:$B$114,F13)=0,""," (+"&amp;IF(COUNTIFS($C$75:$C$114,$C$5,$B$75:$B$114,F13)=1,IF(SUMIFS($E$75:$E$114,$C$75:$C$114,$C$5,$B$75:$B$114,F13)=1,IFERROR(INDEX($D$75:$D$114,MATCH(F13&amp;"|"&amp;$C$5,$J$75:$J$114,0)),""),SUMIFS($E$75:$E$114,$C$75:$C$114,$C$5,$B$75:$B$114,F13)&amp;"x"&amp;IFERROR(INDEX($D$75:$D$114,MATCH(F13&amp;"|"&amp;$C$5,$J$75:$J$114,0)),"")),SUMIFS($E$75:$E$114,$C$75:$C$114,$C$5,$B$75:$B$114,F13)&amp;" vols")&amp;")")))</f>
        <v>A320</v>
      </c>
      <c r="G12" s="13" t="str">
        <f aca="false">IF(G13="","",TRIM(S$12&amp;IF(AND(S$12&lt;&gt;"",S$13&lt;&gt;""),"/","")&amp;S$13&amp;IF(SUMIFS($E$75:$E$114,$C$75:$C$114,$C$5,$B$75:$B$114,G13)=0,""," (+"&amp;IF(COUNTIFS($C$75:$C$114,$C$5,$B$75:$B$114,G13)=1,IF(SUMIFS($E$75:$E$114,$C$75:$C$114,$C$5,$B$75:$B$114,G13)=1,IFERROR(INDEX($D$75:$D$114,MATCH(G13&amp;"|"&amp;$C$5,$J$75:$J$114,0)),""),SUMIFS($E$75:$E$114,$C$75:$C$114,$C$5,$B$75:$B$114,G13)&amp;"x"&amp;IFERROR(INDEX($D$75:$D$114,MATCH(G13&amp;"|"&amp;$C$5,$J$75:$J$114,0)),"")),SUMIFS($E$75:$E$114,$C$75:$C$114,$C$5,$B$75:$B$114,G13)&amp;" vols")&amp;")")))</f>
        <v/>
      </c>
      <c r="H12" s="13" t="str">
        <f aca="false">IF(H13="","",TRIM(T$12&amp;IF(AND(T$12&lt;&gt;"",T$13&lt;&gt;""),"/","")&amp;T$13&amp;IF(SUMIFS($E$75:$E$114,$C$75:$C$114,$C$5,$B$75:$B$114,H13)=0,""," (+"&amp;IF(COUNTIFS($C$75:$C$114,$C$5,$B$75:$B$114,H13)=1,IF(SUMIFS($E$75:$E$114,$C$75:$C$114,$C$5,$B$75:$B$114,H13)=1,IFERROR(INDEX($D$75:$D$114,MATCH(H13&amp;"|"&amp;$C$5,$J$75:$J$114,0)),""),SUMIFS($E$75:$E$114,$C$75:$C$114,$C$5,$B$75:$B$114,H13)&amp;"x"&amp;IFERROR(INDEX($D$75:$D$114,MATCH(H13&amp;"|"&amp;$C$5,$J$75:$J$114,0)),"")),SUMIFS($E$75:$E$114,$C$75:$C$114,$C$5,$B$75:$B$114,H13)&amp;" vols")&amp;")")))</f>
        <v>A320</v>
      </c>
      <c r="I12" s="13" t="str">
        <f aca="false">IF(I13="","",TRIM(U$12&amp;IF(AND(U$12&lt;&gt;"",U$13&lt;&gt;""),"/","")&amp;U$13&amp;IF(SUMIFS($E$75:$E$114,$C$75:$C$114,$C$5,$B$75:$B$114,I13)=0,""," (+"&amp;IF(COUNTIFS($C$75:$C$114,$C$5,$B$75:$B$114,I13)=1,IF(SUMIFS($E$75:$E$114,$C$75:$C$114,$C$5,$B$75:$B$114,I13)=1,IFERROR(INDEX($D$75:$D$114,MATCH(I13&amp;"|"&amp;$C$5,$J$75:$J$114,0)),""),SUMIFS($E$75:$E$114,$C$75:$C$114,$C$5,$B$75:$B$114,I13)&amp;"x"&amp;IFERROR(INDEX($D$75:$D$114,MATCH(I13&amp;"|"&amp;$C$5,$J$75:$J$114,0)),"")),SUMIFS($E$75:$E$114,$C$75:$C$114,$C$5,$B$75:$B$114,I13)&amp;" vols")&amp;")")))</f>
        <v/>
      </c>
      <c r="N12" s="19" t="s">
        <v>36</v>
      </c>
      <c r="O12" s="20" t="str">
        <f aca="false">IFERROR(INDEX($C$45:$I$68,MATCH($C$5,$B$45:$B$68,0)+0,1)&amp;"","")</f>
        <v>A320</v>
      </c>
      <c r="P12" s="20" t="str">
        <f aca="false">IFERROR(INDEX($C$45:$I$68,MATCH($C$5,$B$45:$B$68,0)+0,2)&amp;"","")</f>
        <v/>
      </c>
      <c r="Q12" s="20" t="str">
        <f aca="false">IFERROR(INDEX($C$45:$I$68,MATCH($C$5,$B$45:$B$68,0)+0,3)&amp;"","")</f>
        <v/>
      </c>
      <c r="R12" s="20" t="str">
        <f aca="false">IFERROR(INDEX($C$45:$I$68,MATCH($C$5,$B$45:$B$68,0)+0,4)&amp;"","")</f>
        <v>A320</v>
      </c>
      <c r="S12" s="20" t="str">
        <f aca="false">IFERROR(INDEX($C$45:$I$68,MATCH($C$5,$B$45:$B$68,0)+0,5)&amp;"","")</f>
        <v/>
      </c>
      <c r="T12" s="20" t="str">
        <f aca="false">IFERROR(INDEX($C$45:$I$68,MATCH($C$5,$B$45:$B$68,0)+0,6)&amp;"","")</f>
        <v>A320</v>
      </c>
      <c r="U12" s="20" t="str">
        <f aca="false">IFERROR(INDEX($C$45:$I$68,MATCH($C$5,$B$45:$B$68,0)+0,7)&amp;"","")</f>
        <v/>
      </c>
    </row>
    <row r="13" customFormat="false" ht="13.5" hidden="false" customHeight="true" outlineLevel="0" collapsed="false">
      <c r="B13" s="15" t="str">
        <f aca="false">IF(COUNT(C13:I13)=0,"","du "&amp;TEXT(MIN(C13:I13),"DD/MM")&amp;" au "&amp;TEXT(MAX(C13:I13),"DD/MM"))</f>
        <v>du 12/04 au 18/04</v>
      </c>
      <c r="C13" s="16" t="n">
        <f aca="false">IF(OR($O$6+14&lt;$O$4,$O$6+14&gt;$O$5),"",$O$6+14)</f>
        <v>46489</v>
      </c>
      <c r="D13" s="16" t="n">
        <f aca="false">IF(OR($O$6+15&lt;$O$4,$O$6+15&gt;$O$5),"",$O$6+15)</f>
        <v>46490</v>
      </c>
      <c r="E13" s="16" t="n">
        <f aca="false">IF(OR($O$6+16&lt;$O$4,$O$6+16&gt;$O$5),"",$O$6+16)</f>
        <v>46491</v>
      </c>
      <c r="F13" s="16" t="n">
        <f aca="false">IF(OR($O$6+17&lt;$O$4,$O$6+17&gt;$O$5),"",$O$6+17)</f>
        <v>46492</v>
      </c>
      <c r="G13" s="16" t="n">
        <f aca="false">IF(OR($O$6+18&lt;$O$4,$O$6+18&gt;$O$5),"",$O$6+18)</f>
        <v>46493</v>
      </c>
      <c r="H13" s="16" t="n">
        <f aca="false">IF(OR($O$6+19&lt;$O$4,$O$6+19&gt;$O$5),"",$O$6+19)</f>
        <v>46494</v>
      </c>
      <c r="I13" s="16" t="n">
        <f aca="false">IF(OR($O$6+20&lt;$O$4,$O$6+20&gt;$O$5),"",$O$6+20)</f>
        <v>46495</v>
      </c>
      <c r="N13" s="19" t="s">
        <v>37</v>
      </c>
      <c r="O13" s="20" t="str">
        <f aca="false">IFERROR(INDEX($C$45:$I$68,MATCH($C$5,$B$45:$B$68,0)+1,1)&amp;"","")</f>
        <v/>
      </c>
      <c r="P13" s="20" t="str">
        <f aca="false">IFERROR(INDEX($C$45:$I$68,MATCH($C$5,$B$45:$B$68,0)+1,2)&amp;"","")</f>
        <v/>
      </c>
      <c r="Q13" s="20" t="str">
        <f aca="false">IFERROR(INDEX($C$45:$I$68,MATCH($C$5,$B$45:$B$68,0)+1,3)&amp;"","")</f>
        <v/>
      </c>
      <c r="R13" s="20" t="str">
        <f aca="false">IFERROR(INDEX($C$45:$I$68,MATCH($C$5,$B$45:$B$68,0)+1,4)&amp;"","")</f>
        <v/>
      </c>
      <c r="S13" s="20" t="str">
        <f aca="false">IFERROR(INDEX($C$45:$I$68,MATCH($C$5,$B$45:$B$68,0)+1,5)&amp;"","")</f>
        <v/>
      </c>
      <c r="T13" s="20" t="str">
        <f aca="false">IFERROR(INDEX($C$45:$I$68,MATCH($C$5,$B$45:$B$68,0)+1,6)&amp;"","")</f>
        <v/>
      </c>
      <c r="U13" s="20" t="str">
        <f aca="false">IFERROR(INDEX($C$45:$I$68,MATCH($C$5,$B$45:$B$68,0)+1,7)&amp;"","")</f>
        <v/>
      </c>
    </row>
    <row r="14" customFormat="false" ht="21.75" hidden="false" customHeight="true" outlineLevel="0" collapsed="false">
      <c r="B14" s="12" t="s">
        <v>38</v>
      </c>
      <c r="C14" s="13" t="str">
        <f aca="false">IF(C15="","",TRIM(O$12&amp;IF(AND(O$12&lt;&gt;"",O$13&lt;&gt;""),"/","")&amp;O$13&amp;IF(SUMIFS($E$75:$E$114,$C$75:$C$114,$C$5,$B$75:$B$114,C15)=0,""," (+"&amp;IF(COUNTIFS($C$75:$C$114,$C$5,$B$75:$B$114,C15)=1,IF(SUMIFS($E$75:$E$114,$C$75:$C$114,$C$5,$B$75:$B$114,C15)=1,IFERROR(INDEX($D$75:$D$114,MATCH(C15&amp;"|"&amp;$C$5,$J$75:$J$114,0)),""),SUMIFS($E$75:$E$114,$C$75:$C$114,$C$5,$B$75:$B$114,C15)&amp;"x"&amp;IFERROR(INDEX($D$75:$D$114,MATCH(C15&amp;"|"&amp;$C$5,$J$75:$J$114,0)),"")),SUMIFS($E$75:$E$114,$C$75:$C$114,$C$5,$B$75:$B$114,C15)&amp;" vols")&amp;")")))</f>
        <v>A320</v>
      </c>
      <c r="D14" s="13" t="str">
        <f aca="false">IF(D15="","",TRIM(P$12&amp;IF(AND(P$12&lt;&gt;"",P$13&lt;&gt;""),"/","")&amp;P$13&amp;IF(SUMIFS($E$75:$E$114,$C$75:$C$114,$C$5,$B$75:$B$114,D15)=0,""," (+"&amp;IF(COUNTIFS($C$75:$C$114,$C$5,$B$75:$B$114,D15)=1,IF(SUMIFS($E$75:$E$114,$C$75:$C$114,$C$5,$B$75:$B$114,D15)=1,IFERROR(INDEX($D$75:$D$114,MATCH(D15&amp;"|"&amp;$C$5,$J$75:$J$114,0)),""),SUMIFS($E$75:$E$114,$C$75:$C$114,$C$5,$B$75:$B$114,D15)&amp;"x"&amp;IFERROR(INDEX($D$75:$D$114,MATCH(D15&amp;"|"&amp;$C$5,$J$75:$J$114,0)),"")),SUMIFS($E$75:$E$114,$C$75:$C$114,$C$5,$B$75:$B$114,D15)&amp;" vols")&amp;")")))</f>
        <v/>
      </c>
      <c r="E14" s="13" t="str">
        <f aca="false">IF(E15="","",TRIM(Q$12&amp;IF(AND(Q$12&lt;&gt;"",Q$13&lt;&gt;""),"/","")&amp;Q$13&amp;IF(SUMIFS($E$75:$E$114,$C$75:$C$114,$C$5,$B$75:$B$114,E15)=0,""," (+"&amp;IF(COUNTIFS($C$75:$C$114,$C$5,$B$75:$B$114,E15)=1,IF(SUMIFS($E$75:$E$114,$C$75:$C$114,$C$5,$B$75:$B$114,E15)=1,IFERROR(INDEX($D$75:$D$114,MATCH(E15&amp;"|"&amp;$C$5,$J$75:$J$114,0)),""),SUMIFS($E$75:$E$114,$C$75:$C$114,$C$5,$B$75:$B$114,E15)&amp;"x"&amp;IFERROR(INDEX($D$75:$D$114,MATCH(E15&amp;"|"&amp;$C$5,$J$75:$J$114,0)),"")),SUMIFS($E$75:$E$114,$C$75:$C$114,$C$5,$B$75:$B$114,E15)&amp;" vols")&amp;")")))</f>
        <v/>
      </c>
      <c r="F14" s="13" t="str">
        <f aca="false">IF(F15="","",TRIM(R$12&amp;IF(AND(R$12&lt;&gt;"",R$13&lt;&gt;""),"/","")&amp;R$13&amp;IF(SUMIFS($E$75:$E$114,$C$75:$C$114,$C$5,$B$75:$B$114,F15)=0,""," (+"&amp;IF(COUNTIFS($C$75:$C$114,$C$5,$B$75:$B$114,F15)=1,IF(SUMIFS($E$75:$E$114,$C$75:$C$114,$C$5,$B$75:$B$114,F15)=1,IFERROR(INDEX($D$75:$D$114,MATCH(F15&amp;"|"&amp;$C$5,$J$75:$J$114,0)),""),SUMIFS($E$75:$E$114,$C$75:$C$114,$C$5,$B$75:$B$114,F15)&amp;"x"&amp;IFERROR(INDEX($D$75:$D$114,MATCH(F15&amp;"|"&amp;$C$5,$J$75:$J$114,0)),"")),SUMIFS($E$75:$E$114,$C$75:$C$114,$C$5,$B$75:$B$114,F15)&amp;" vols")&amp;")")))</f>
        <v>A320</v>
      </c>
      <c r="G14" s="13" t="str">
        <f aca="false">IF(G15="","",TRIM(S$12&amp;IF(AND(S$12&lt;&gt;"",S$13&lt;&gt;""),"/","")&amp;S$13&amp;IF(SUMIFS($E$75:$E$114,$C$75:$C$114,$C$5,$B$75:$B$114,G15)=0,""," (+"&amp;IF(COUNTIFS($C$75:$C$114,$C$5,$B$75:$B$114,G15)=1,IF(SUMIFS($E$75:$E$114,$C$75:$C$114,$C$5,$B$75:$B$114,G15)=1,IFERROR(INDEX($D$75:$D$114,MATCH(G15&amp;"|"&amp;$C$5,$J$75:$J$114,0)),""),SUMIFS($E$75:$E$114,$C$75:$C$114,$C$5,$B$75:$B$114,G15)&amp;"x"&amp;IFERROR(INDEX($D$75:$D$114,MATCH(G15&amp;"|"&amp;$C$5,$J$75:$J$114,0)),"")),SUMIFS($E$75:$E$114,$C$75:$C$114,$C$5,$B$75:$B$114,G15)&amp;" vols")&amp;")")))</f>
        <v/>
      </c>
      <c r="H14" s="13" t="str">
        <f aca="false">IF(H15="","",TRIM(T$12&amp;IF(AND(T$12&lt;&gt;"",T$13&lt;&gt;""),"/","")&amp;T$13&amp;IF(SUMIFS($E$75:$E$114,$C$75:$C$114,$C$5,$B$75:$B$114,H15)=0,""," (+"&amp;IF(COUNTIFS($C$75:$C$114,$C$5,$B$75:$B$114,H15)=1,IF(SUMIFS($E$75:$E$114,$C$75:$C$114,$C$5,$B$75:$B$114,H15)=1,IFERROR(INDEX($D$75:$D$114,MATCH(H15&amp;"|"&amp;$C$5,$J$75:$J$114,0)),""),SUMIFS($E$75:$E$114,$C$75:$C$114,$C$5,$B$75:$B$114,H15)&amp;"x"&amp;IFERROR(INDEX($D$75:$D$114,MATCH(H15&amp;"|"&amp;$C$5,$J$75:$J$114,0)),"")),SUMIFS($E$75:$E$114,$C$75:$C$114,$C$5,$B$75:$B$114,H15)&amp;" vols")&amp;")")))</f>
        <v>A320</v>
      </c>
      <c r="I14" s="13" t="str">
        <f aca="false">IF(I15="","",TRIM(U$12&amp;IF(AND(U$12&lt;&gt;"",U$13&lt;&gt;""),"/","")&amp;U$13&amp;IF(SUMIFS($E$75:$E$114,$C$75:$C$114,$C$5,$B$75:$B$114,I15)=0,""," (+"&amp;IF(COUNTIFS($C$75:$C$114,$C$5,$B$75:$B$114,I15)=1,IF(SUMIFS($E$75:$E$114,$C$75:$C$114,$C$5,$B$75:$B$114,I15)=1,IFERROR(INDEX($D$75:$D$114,MATCH(I15&amp;"|"&amp;$C$5,$J$75:$J$114,0)),""),SUMIFS($E$75:$E$114,$C$75:$C$114,$C$5,$B$75:$B$114,I15)&amp;"x"&amp;IFERROR(INDEX($D$75:$D$114,MATCH(I15&amp;"|"&amp;$C$5,$J$75:$J$114,0)),"")),SUMIFS($E$75:$E$114,$C$75:$C$114,$C$5,$B$75:$B$114,I15)&amp;" vols")&amp;")")))</f>
        <v/>
      </c>
    </row>
    <row r="15" customFormat="false" ht="13.5" hidden="false" customHeight="true" outlineLevel="0" collapsed="false">
      <c r="B15" s="15" t="str">
        <f aca="false">IF(COUNT(C15:I15)=0,"","du "&amp;TEXT(MIN(C15:I15),"DD/MM")&amp;" au "&amp;TEXT(MAX(C15:I15),"DD/MM"))</f>
        <v>du 19/04 au 25/04</v>
      </c>
      <c r="C15" s="16" t="n">
        <f aca="false">IF(OR($O$6+21&lt;$O$4,$O$6+21&gt;$O$5),"",$O$6+21)</f>
        <v>46496</v>
      </c>
      <c r="D15" s="16" t="n">
        <f aca="false">IF(OR($O$6+22&lt;$O$4,$O$6+22&gt;$O$5),"",$O$6+22)</f>
        <v>46497</v>
      </c>
      <c r="E15" s="16" t="n">
        <f aca="false">IF(OR($O$6+23&lt;$O$4,$O$6+23&gt;$O$5),"",$O$6+23)</f>
        <v>46498</v>
      </c>
      <c r="F15" s="16" t="n">
        <f aca="false">IF(OR($O$6+24&lt;$O$4,$O$6+24&gt;$O$5),"",$O$6+24)</f>
        <v>46499</v>
      </c>
      <c r="G15" s="16" t="n">
        <f aca="false">IF(OR($O$6+25&lt;$O$4,$O$6+25&gt;$O$5),"",$O$6+25)</f>
        <v>46500</v>
      </c>
      <c r="H15" s="16" t="n">
        <f aca="false">IF(OR($O$6+26&lt;$O$4,$O$6+26&gt;$O$5),"",$O$6+26)</f>
        <v>46501</v>
      </c>
      <c r="I15" s="16" t="n">
        <f aca="false">IF(OR($O$6+27&lt;$O$4,$O$6+27&gt;$O$5),"",$O$6+27)</f>
        <v>46502</v>
      </c>
    </row>
    <row r="16" customFormat="false" ht="21.75" hidden="false" customHeight="true" outlineLevel="0" collapsed="false">
      <c r="B16" s="12" t="s">
        <v>39</v>
      </c>
      <c r="C16" s="13" t="str">
        <f aca="false">IF(C17="","",TRIM(O$12&amp;IF(AND(O$12&lt;&gt;"",O$13&lt;&gt;""),"/","")&amp;O$13&amp;IF(SUMIFS($E$75:$E$114,$C$75:$C$114,$C$5,$B$75:$B$114,C17)=0,""," (+"&amp;IF(COUNTIFS($C$75:$C$114,$C$5,$B$75:$B$114,C17)=1,IF(SUMIFS($E$75:$E$114,$C$75:$C$114,$C$5,$B$75:$B$114,C17)=1,IFERROR(INDEX($D$75:$D$114,MATCH(C17&amp;"|"&amp;$C$5,$J$75:$J$114,0)),""),SUMIFS($E$75:$E$114,$C$75:$C$114,$C$5,$B$75:$B$114,C17)&amp;"x"&amp;IFERROR(INDEX($D$75:$D$114,MATCH(C17&amp;"|"&amp;$C$5,$J$75:$J$114,0)),"")),SUMIFS($E$75:$E$114,$C$75:$C$114,$C$5,$B$75:$B$114,C17)&amp;" vols")&amp;")")))</f>
        <v>A320</v>
      </c>
      <c r="D16" s="13" t="str">
        <f aca="false">IF(D17="","",TRIM(P$12&amp;IF(AND(P$12&lt;&gt;"",P$13&lt;&gt;""),"/","")&amp;P$13&amp;IF(SUMIFS($E$75:$E$114,$C$75:$C$114,$C$5,$B$75:$B$114,D17)=0,""," (+"&amp;IF(COUNTIFS($C$75:$C$114,$C$5,$B$75:$B$114,D17)=1,IF(SUMIFS($E$75:$E$114,$C$75:$C$114,$C$5,$B$75:$B$114,D17)=1,IFERROR(INDEX($D$75:$D$114,MATCH(D17&amp;"|"&amp;$C$5,$J$75:$J$114,0)),""),SUMIFS($E$75:$E$114,$C$75:$C$114,$C$5,$B$75:$B$114,D17)&amp;"x"&amp;IFERROR(INDEX($D$75:$D$114,MATCH(D17&amp;"|"&amp;$C$5,$J$75:$J$114,0)),"")),SUMIFS($E$75:$E$114,$C$75:$C$114,$C$5,$B$75:$B$114,D17)&amp;" vols")&amp;")")))</f>
        <v/>
      </c>
      <c r="E16" s="13" t="str">
        <f aca="false">IF(E17="","",TRIM(Q$12&amp;IF(AND(Q$12&lt;&gt;"",Q$13&lt;&gt;""),"/","")&amp;Q$13&amp;IF(SUMIFS($E$75:$E$114,$C$75:$C$114,$C$5,$B$75:$B$114,E17)=0,""," (+"&amp;IF(COUNTIFS($C$75:$C$114,$C$5,$B$75:$B$114,E17)=1,IF(SUMIFS($E$75:$E$114,$C$75:$C$114,$C$5,$B$75:$B$114,E17)=1,IFERROR(INDEX($D$75:$D$114,MATCH(E17&amp;"|"&amp;$C$5,$J$75:$J$114,0)),""),SUMIFS($E$75:$E$114,$C$75:$C$114,$C$5,$B$75:$B$114,E17)&amp;"x"&amp;IFERROR(INDEX($D$75:$D$114,MATCH(E17&amp;"|"&amp;$C$5,$J$75:$J$114,0)),"")),SUMIFS($E$75:$E$114,$C$75:$C$114,$C$5,$B$75:$B$114,E17)&amp;" vols")&amp;")")))</f>
        <v/>
      </c>
      <c r="F16" s="13" t="str">
        <f aca="false">IF(F17="","",TRIM(R$12&amp;IF(AND(R$12&lt;&gt;"",R$13&lt;&gt;""),"/","")&amp;R$13&amp;IF(SUMIFS($E$75:$E$114,$C$75:$C$114,$C$5,$B$75:$B$114,F17)=0,""," (+"&amp;IF(COUNTIFS($C$75:$C$114,$C$5,$B$75:$B$114,F17)=1,IF(SUMIFS($E$75:$E$114,$C$75:$C$114,$C$5,$B$75:$B$114,F17)=1,IFERROR(INDEX($D$75:$D$114,MATCH(F17&amp;"|"&amp;$C$5,$J$75:$J$114,0)),""),SUMIFS($E$75:$E$114,$C$75:$C$114,$C$5,$B$75:$B$114,F17)&amp;"x"&amp;IFERROR(INDEX($D$75:$D$114,MATCH(F17&amp;"|"&amp;$C$5,$J$75:$J$114,0)),"")),SUMIFS($E$75:$E$114,$C$75:$C$114,$C$5,$B$75:$B$114,F17)&amp;" vols")&amp;")")))</f>
        <v>A320</v>
      </c>
      <c r="G16" s="13" t="str">
        <f aca="false">IF(G17="","",TRIM(S$12&amp;IF(AND(S$12&lt;&gt;"",S$13&lt;&gt;""),"/","")&amp;S$13&amp;IF(SUMIFS($E$75:$E$114,$C$75:$C$114,$C$5,$B$75:$B$114,G17)=0,""," (+"&amp;IF(COUNTIFS($C$75:$C$114,$C$5,$B$75:$B$114,G17)=1,IF(SUMIFS($E$75:$E$114,$C$75:$C$114,$C$5,$B$75:$B$114,G17)=1,IFERROR(INDEX($D$75:$D$114,MATCH(G17&amp;"|"&amp;$C$5,$J$75:$J$114,0)),""),SUMIFS($E$75:$E$114,$C$75:$C$114,$C$5,$B$75:$B$114,G17)&amp;"x"&amp;IFERROR(INDEX($D$75:$D$114,MATCH(G17&amp;"|"&amp;$C$5,$J$75:$J$114,0)),"")),SUMIFS($E$75:$E$114,$C$75:$C$114,$C$5,$B$75:$B$114,G17)&amp;" vols")&amp;")")))</f>
        <v/>
      </c>
      <c r="H16" s="13" t="str">
        <f aca="false">IF(H17="","",TRIM(T$12&amp;IF(AND(T$12&lt;&gt;"",T$13&lt;&gt;""),"/","")&amp;T$13&amp;IF(SUMIFS($E$75:$E$114,$C$75:$C$114,$C$5,$B$75:$B$114,H17)=0,""," (+"&amp;IF(COUNTIFS($C$75:$C$114,$C$5,$B$75:$B$114,H17)=1,IF(SUMIFS($E$75:$E$114,$C$75:$C$114,$C$5,$B$75:$B$114,H17)=1,IFERROR(INDEX($D$75:$D$114,MATCH(H17&amp;"|"&amp;$C$5,$J$75:$J$114,0)),""),SUMIFS($E$75:$E$114,$C$75:$C$114,$C$5,$B$75:$B$114,H17)&amp;"x"&amp;IFERROR(INDEX($D$75:$D$114,MATCH(H17&amp;"|"&amp;$C$5,$J$75:$J$114,0)),"")),SUMIFS($E$75:$E$114,$C$75:$C$114,$C$5,$B$75:$B$114,H17)&amp;" vols")&amp;")")))</f>
        <v/>
      </c>
      <c r="I16" s="13" t="str">
        <f aca="false">IF(I17="","",TRIM(U$12&amp;IF(AND(U$12&lt;&gt;"",U$13&lt;&gt;""),"/","")&amp;U$13&amp;IF(SUMIFS($E$75:$E$114,$C$75:$C$114,$C$5,$B$75:$B$114,I17)=0,""," (+"&amp;IF(COUNTIFS($C$75:$C$114,$C$5,$B$75:$B$114,I17)=1,IF(SUMIFS($E$75:$E$114,$C$75:$C$114,$C$5,$B$75:$B$114,I17)=1,IFERROR(INDEX($D$75:$D$114,MATCH(I17&amp;"|"&amp;$C$5,$J$75:$J$114,0)),""),SUMIFS($E$75:$E$114,$C$75:$C$114,$C$5,$B$75:$B$114,I17)&amp;"x"&amp;IFERROR(INDEX($D$75:$D$114,MATCH(I17&amp;"|"&amp;$C$5,$J$75:$J$114,0)),"")),SUMIFS($E$75:$E$114,$C$75:$C$114,$C$5,$B$75:$B$114,I17)&amp;" vols")&amp;")")))</f>
        <v/>
      </c>
    </row>
    <row r="17" customFormat="false" ht="13.5" hidden="false" customHeight="true" outlineLevel="0" collapsed="false">
      <c r="B17" s="15" t="str">
        <f aca="false">IF(COUNT(C17:I17)=0,"","du "&amp;TEXT(MIN(C17:I17),"DD/MM")&amp;" au "&amp;TEXT(MAX(C17:I17),"DD/MM"))</f>
        <v>du 26/04 au 30/04</v>
      </c>
      <c r="C17" s="16" t="n">
        <f aca="false">IF(OR($O$6+28&lt;$O$4,$O$6+28&gt;$O$5),"",$O$6+28)</f>
        <v>46503</v>
      </c>
      <c r="D17" s="16" t="n">
        <f aca="false">IF(OR($O$6+29&lt;$O$4,$O$6+29&gt;$O$5),"",$O$6+29)</f>
        <v>46504</v>
      </c>
      <c r="E17" s="16" t="n">
        <f aca="false">IF(OR($O$6+30&lt;$O$4,$O$6+30&gt;$O$5),"",$O$6+30)</f>
        <v>46505</v>
      </c>
      <c r="F17" s="16" t="n">
        <f aca="false">IF(OR($O$6+31&lt;$O$4,$O$6+31&gt;$O$5),"",$O$6+31)</f>
        <v>46506</v>
      </c>
      <c r="G17" s="16" t="n">
        <f aca="false">IF(OR($O$6+32&lt;$O$4,$O$6+32&gt;$O$5),"",$O$6+32)</f>
        <v>46507</v>
      </c>
      <c r="H17" s="16" t="str">
        <f aca="false">IF(OR($O$6+33&lt;$O$4,$O$6+33&gt;$O$5),"",$O$6+33)</f>
        <v/>
      </c>
      <c r="I17" s="16" t="str">
        <f aca="false">IF(OR($O$6+34&lt;$O$4,$O$6+34&gt;$O$5),"",$O$6+34)</f>
        <v/>
      </c>
    </row>
    <row r="18" customFormat="false" ht="21.75" hidden="false" customHeight="true" outlineLevel="0" collapsed="false">
      <c r="B18" s="12" t="s">
        <v>40</v>
      </c>
      <c r="C18" s="13" t="str">
        <f aca="false">IF(C19="","",TRIM(O$12&amp;IF(AND(O$12&lt;&gt;"",O$13&lt;&gt;""),"/","")&amp;O$13&amp;IF(SUMIFS($E$75:$E$114,$C$75:$C$114,$C$5,$B$75:$B$114,C19)=0,""," (+"&amp;IF(COUNTIFS($C$75:$C$114,$C$5,$B$75:$B$114,C19)=1,IF(SUMIFS($E$75:$E$114,$C$75:$C$114,$C$5,$B$75:$B$114,C19)=1,IFERROR(INDEX($D$75:$D$114,MATCH(C19&amp;"|"&amp;$C$5,$J$75:$J$114,0)),""),SUMIFS($E$75:$E$114,$C$75:$C$114,$C$5,$B$75:$B$114,C19)&amp;"x"&amp;IFERROR(INDEX($D$75:$D$114,MATCH(C19&amp;"|"&amp;$C$5,$J$75:$J$114,0)),"")),SUMIFS($E$75:$E$114,$C$75:$C$114,$C$5,$B$75:$B$114,C19)&amp;" vols")&amp;")")))</f>
        <v/>
      </c>
      <c r="D18" s="13" t="str">
        <f aca="false">IF(D19="","",TRIM(P$12&amp;IF(AND(P$12&lt;&gt;"",P$13&lt;&gt;""),"/","")&amp;P$13&amp;IF(SUMIFS($E$75:$E$114,$C$75:$C$114,$C$5,$B$75:$B$114,D19)=0,""," (+"&amp;IF(COUNTIFS($C$75:$C$114,$C$5,$B$75:$B$114,D19)=1,IF(SUMIFS($E$75:$E$114,$C$75:$C$114,$C$5,$B$75:$B$114,D19)=1,IFERROR(INDEX($D$75:$D$114,MATCH(D19&amp;"|"&amp;$C$5,$J$75:$J$114,0)),""),SUMIFS($E$75:$E$114,$C$75:$C$114,$C$5,$B$75:$B$114,D19)&amp;"x"&amp;IFERROR(INDEX($D$75:$D$114,MATCH(D19&amp;"|"&amp;$C$5,$J$75:$J$114,0)),"")),SUMIFS($E$75:$E$114,$C$75:$C$114,$C$5,$B$75:$B$114,D19)&amp;" vols")&amp;")")))</f>
        <v/>
      </c>
      <c r="E18" s="13" t="str">
        <f aca="false">IF(E19="","",TRIM(Q$12&amp;IF(AND(Q$12&lt;&gt;"",Q$13&lt;&gt;""),"/","")&amp;Q$13&amp;IF(SUMIFS($E$75:$E$114,$C$75:$C$114,$C$5,$B$75:$B$114,E19)=0,""," (+"&amp;IF(COUNTIFS($C$75:$C$114,$C$5,$B$75:$B$114,E19)=1,IF(SUMIFS($E$75:$E$114,$C$75:$C$114,$C$5,$B$75:$B$114,E19)=1,IFERROR(INDEX($D$75:$D$114,MATCH(E19&amp;"|"&amp;$C$5,$J$75:$J$114,0)),""),SUMIFS($E$75:$E$114,$C$75:$C$114,$C$5,$B$75:$B$114,E19)&amp;"x"&amp;IFERROR(INDEX($D$75:$D$114,MATCH(E19&amp;"|"&amp;$C$5,$J$75:$J$114,0)),"")),SUMIFS($E$75:$E$114,$C$75:$C$114,$C$5,$B$75:$B$114,E19)&amp;" vols")&amp;")")))</f>
        <v/>
      </c>
      <c r="F18" s="13" t="str">
        <f aca="false">IF(F19="","",TRIM(R$12&amp;IF(AND(R$12&lt;&gt;"",R$13&lt;&gt;""),"/","")&amp;R$13&amp;IF(SUMIFS($E$75:$E$114,$C$75:$C$114,$C$5,$B$75:$B$114,F19)=0,""," (+"&amp;IF(COUNTIFS($C$75:$C$114,$C$5,$B$75:$B$114,F19)=1,IF(SUMIFS($E$75:$E$114,$C$75:$C$114,$C$5,$B$75:$B$114,F19)=1,IFERROR(INDEX($D$75:$D$114,MATCH(F19&amp;"|"&amp;$C$5,$J$75:$J$114,0)),""),SUMIFS($E$75:$E$114,$C$75:$C$114,$C$5,$B$75:$B$114,F19)&amp;"x"&amp;IFERROR(INDEX($D$75:$D$114,MATCH(F19&amp;"|"&amp;$C$5,$J$75:$J$114,0)),"")),SUMIFS($E$75:$E$114,$C$75:$C$114,$C$5,$B$75:$B$114,F19)&amp;" vols")&amp;")")))</f>
        <v/>
      </c>
      <c r="G18" s="13" t="str">
        <f aca="false">IF(G19="","",TRIM(S$12&amp;IF(AND(S$12&lt;&gt;"",S$13&lt;&gt;""),"/","")&amp;S$13&amp;IF(SUMIFS($E$75:$E$114,$C$75:$C$114,$C$5,$B$75:$B$114,G19)=0,""," (+"&amp;IF(COUNTIFS($C$75:$C$114,$C$5,$B$75:$B$114,G19)=1,IF(SUMIFS($E$75:$E$114,$C$75:$C$114,$C$5,$B$75:$B$114,G19)=1,IFERROR(INDEX($D$75:$D$114,MATCH(G19&amp;"|"&amp;$C$5,$J$75:$J$114,0)),""),SUMIFS($E$75:$E$114,$C$75:$C$114,$C$5,$B$75:$B$114,G19)&amp;"x"&amp;IFERROR(INDEX($D$75:$D$114,MATCH(G19&amp;"|"&amp;$C$5,$J$75:$J$114,0)),"")),SUMIFS($E$75:$E$114,$C$75:$C$114,$C$5,$B$75:$B$114,G19)&amp;" vols")&amp;")")))</f>
        <v/>
      </c>
      <c r="H18" s="13" t="str">
        <f aca="false">IF(H19="","",TRIM(T$12&amp;IF(AND(T$12&lt;&gt;"",T$13&lt;&gt;""),"/","")&amp;T$13&amp;IF(SUMIFS($E$75:$E$114,$C$75:$C$114,$C$5,$B$75:$B$114,H19)=0,""," (+"&amp;IF(COUNTIFS($C$75:$C$114,$C$5,$B$75:$B$114,H19)=1,IF(SUMIFS($E$75:$E$114,$C$75:$C$114,$C$5,$B$75:$B$114,H19)=1,IFERROR(INDEX($D$75:$D$114,MATCH(H19&amp;"|"&amp;$C$5,$J$75:$J$114,0)),""),SUMIFS($E$75:$E$114,$C$75:$C$114,$C$5,$B$75:$B$114,H19)&amp;"x"&amp;IFERROR(INDEX($D$75:$D$114,MATCH(H19&amp;"|"&amp;$C$5,$J$75:$J$114,0)),"")),SUMIFS($E$75:$E$114,$C$75:$C$114,$C$5,$B$75:$B$114,H19)&amp;" vols")&amp;")")))</f>
        <v/>
      </c>
      <c r="I18" s="13" t="str">
        <f aca="false">IF(I19="","",TRIM(U$12&amp;IF(AND(U$12&lt;&gt;"",U$13&lt;&gt;""),"/","")&amp;U$13&amp;IF(SUMIFS($E$75:$E$114,$C$75:$C$114,$C$5,$B$75:$B$114,I19)=0,""," (+"&amp;IF(COUNTIFS($C$75:$C$114,$C$5,$B$75:$B$114,I19)=1,IF(SUMIFS($E$75:$E$114,$C$75:$C$114,$C$5,$B$75:$B$114,I19)=1,IFERROR(INDEX($D$75:$D$114,MATCH(I19&amp;"|"&amp;$C$5,$J$75:$J$114,0)),""),SUMIFS($E$75:$E$114,$C$75:$C$114,$C$5,$B$75:$B$114,I19)&amp;"x"&amp;IFERROR(INDEX($D$75:$D$114,MATCH(I19&amp;"|"&amp;$C$5,$J$75:$J$114,0)),"")),SUMIFS($E$75:$E$114,$C$75:$C$114,$C$5,$B$75:$B$114,I19)&amp;" vols")&amp;")")))</f>
        <v/>
      </c>
    </row>
    <row r="19" customFormat="false" ht="13.5" hidden="false" customHeight="true" outlineLevel="0" collapsed="false">
      <c r="B19" s="15" t="str">
        <f aca="false">IF(COUNT(C19:I19)=0,"","du "&amp;TEXT(MIN(C19:I19),"DD/MM")&amp;" au "&amp;TEXT(MAX(C19:I19),"DD/MM"))</f>
        <v/>
      </c>
      <c r="C19" s="16" t="str">
        <f aca="false">IF(OR($O$6+35&lt;$O$4,$O$6+35&gt;$O$5),"",$O$6+35)</f>
        <v/>
      </c>
      <c r="D19" s="16" t="str">
        <f aca="false">IF(OR($O$6+36&lt;$O$4,$O$6+36&gt;$O$5),"",$O$6+36)</f>
        <v/>
      </c>
      <c r="E19" s="16" t="str">
        <f aca="false">IF(OR($O$6+37&lt;$O$4,$O$6+37&gt;$O$5),"",$O$6+37)</f>
        <v/>
      </c>
      <c r="F19" s="16" t="str">
        <f aca="false">IF(OR($O$6+38&lt;$O$4,$O$6+38&gt;$O$5),"",$O$6+38)</f>
        <v/>
      </c>
      <c r="G19" s="16" t="str">
        <f aca="false">IF(OR($O$6+39&lt;$O$4,$O$6+39&gt;$O$5),"",$O$6+39)</f>
        <v/>
      </c>
      <c r="H19" s="16" t="str">
        <f aca="false">IF(OR($O$6+40&lt;$O$4,$O$6+40&gt;$O$5),"",$O$6+40)</f>
        <v/>
      </c>
      <c r="I19" s="16" t="str">
        <f aca="false">IF(OR($O$6+41&lt;$O$4,$O$6+41&gt;$O$5),"",$O$6+41)</f>
        <v/>
      </c>
    </row>
    <row r="20" customFormat="false" ht="15" hidden="false" customHeight="false" outlineLevel="0" collapsed="false">
      <c r="B20" s="21" t="s">
        <v>41</v>
      </c>
      <c r="C20" s="22" t="n">
        <f aca="false">COUNT(C9,C11,C13,C15,C17,C19)</f>
        <v>4</v>
      </c>
      <c r="D20" s="22" t="n">
        <f aca="false">COUNT(D9,D11,D13,D15,D17,D19)</f>
        <v>4</v>
      </c>
      <c r="E20" s="22" t="n">
        <f aca="false">COUNT(E9,E11,E13,E15,E17,E19)</f>
        <v>4</v>
      </c>
      <c r="F20" s="22" t="n">
        <f aca="false">COUNT(F9,F11,F13,F15,F17,F19)</f>
        <v>5</v>
      </c>
      <c r="G20" s="22" t="n">
        <f aca="false">COUNT(G9,G11,G13,G15,G17,G19)</f>
        <v>5</v>
      </c>
      <c r="H20" s="22" t="n">
        <f aca="false">COUNT(H9,H11,H13,H15,H17,H19)</f>
        <v>4</v>
      </c>
      <c r="I20" s="22" t="n">
        <f aca="false">COUNT(I9,I11,I13,I15,I17,I19)</f>
        <v>4</v>
      </c>
    </row>
    <row r="21" customFormat="false" ht="15" hidden="false" customHeight="false" outlineLevel="0" collapsed="false">
      <c r="B21" s="21" t="s">
        <v>42</v>
      </c>
      <c r="C21" s="22" t="n">
        <f aca="false">IF(COUNT(C9:I9)&gt;0,1,0)+IF(COUNT(C11:I11)&gt;0,1,0)+IF(COUNT(C13:I13)&gt;0,1,0)+IF(COUNT(C15:I15)&gt;0,1,0)+IF(COUNT(C17:I17)&gt;0,1,0)+IF(COUNT(C19:I19)&gt;0,1,0)</f>
        <v>5</v>
      </c>
      <c r="D21" s="23" t="s">
        <v>43</v>
      </c>
      <c r="E21" s="23"/>
      <c r="F21" s="23"/>
      <c r="G21" s="23"/>
      <c r="H21" s="23"/>
      <c r="I21" s="23"/>
    </row>
    <row r="23" customFormat="false" ht="15" hidden="false" customHeight="false" outlineLevel="0" collapsed="false">
      <c r="B23" s="9" t="s">
        <v>44</v>
      </c>
      <c r="C23" s="9"/>
      <c r="D23" s="9"/>
      <c r="E23" s="9"/>
      <c r="F23" s="9"/>
      <c r="G23" s="9"/>
      <c r="H23" s="9"/>
      <c r="I23" s="9"/>
      <c r="J23" s="9"/>
      <c r="K23" s="9"/>
      <c r="L23" s="9"/>
    </row>
    <row r="24" customFormat="false" ht="39.75" hidden="false" customHeight="true" outlineLevel="0" collapsed="false">
      <c r="B24" s="24" t="s">
        <v>45</v>
      </c>
      <c r="C24" s="24" t="s">
        <v>21</v>
      </c>
      <c r="D24" s="24" t="s">
        <v>46</v>
      </c>
      <c r="E24" s="24" t="s">
        <v>47</v>
      </c>
      <c r="F24" s="24" t="s">
        <v>48</v>
      </c>
      <c r="G24" s="24" t="s">
        <v>49</v>
      </c>
      <c r="H24" s="24" t="s">
        <v>50</v>
      </c>
      <c r="I24" s="24" t="s">
        <v>51</v>
      </c>
      <c r="J24" s="24" t="s">
        <v>52</v>
      </c>
      <c r="K24" s="24" t="s">
        <v>53</v>
      </c>
      <c r="L24" s="24" t="s">
        <v>54</v>
      </c>
    </row>
    <row r="25" customFormat="false" ht="15" hidden="false" customHeight="false" outlineLevel="0" collapsed="false">
      <c r="B25" s="13" t="str">
        <f aca="false">$B$45</f>
        <v>CDGRUN</v>
      </c>
      <c r="C25" s="20" t="str">
        <f aca="false">$K$45</f>
        <v>77W(7), 778(2)</v>
      </c>
      <c r="D25" s="20" t="str">
        <f aca="false">IF(COUNTA($C$45:$I$46)=0,"aucune operation",SUBSTITUTE(TRIM(IF(COUNTA($C$45:$C$46)&gt;0,"J1 ","")&amp;IF(COUNTA($D$45:$D$46)&gt;0,"J2 ","")&amp;IF(COUNTA($E$45:$E$46)&gt;0,"J3 ","")&amp;IF(COUNTA($F$45:$F$46)&gt;0,"J4 ","")&amp;IF(COUNTA($G$45:$G$46)&gt;0,"J5 ","")&amp;IF(COUNTA($H$45:$H$46)&gt;0,"J6 ","")&amp;IF(COUNTA($I$45:$I$46)&gt;0,"J7 ",""))," ",", "))</f>
        <v>J1, J2, J3, J4, J5, J6, J7</v>
      </c>
      <c r="E25" s="25" t="n">
        <f aca="false">$J$45</f>
        <v>9</v>
      </c>
      <c r="F25" s="25" t="n">
        <f aca="false">$C$21</f>
        <v>5</v>
      </c>
      <c r="G25" s="26" t="n">
        <f aca="false">H25+I25</f>
        <v>41</v>
      </c>
      <c r="H25" s="25" t="n">
        <f aca="false">SUMPRODUCT($C$20:$I$20,--($C$45:$I$45&lt;&gt;""))+SUMPRODUCT($C$20:$I$20,--($C$46:$I$46&lt;&gt;""))</f>
        <v>39</v>
      </c>
      <c r="I25" s="25" t="n">
        <f aca="false">SUMIFS($E$75:$E$114,$C$75:$C$114,$B25,$B$75:$B$114,"&gt;="&amp;$O$4,$B$75:$B$114,"&lt;="&amp;$O$5)</f>
        <v>2</v>
      </c>
      <c r="J25" s="27" t="n">
        <f aca="false">SUMPRODUCT($C$20:$I$20,--($C$45:$I$45="77W"))+SUMPRODUCT($C$20:$I$20,--($C$46:$I$46="77W"))+SUMIFS($E$75:$E$114,$C$75:$C$114,$B25,$D$75:$D$114,"77W",$B$75:$B$114,"&gt;="&amp;$O$4,$B$75:$B$114,"&lt;="&amp;$O$5)</f>
        <v>30</v>
      </c>
      <c r="K25" s="27" t="n">
        <f aca="false">SUMPRODUCT($C$20:$I$20,--($C$45:$I$45="778"))+SUMPRODUCT($C$20:$I$20,--($C$46:$I$46="778"))+SUMIFS($E$75:$E$114,$C$75:$C$114,$B25,$D$75:$D$114,"778",$B$75:$B$114,"&gt;="&amp;$O$4,$B$75:$B$114,"&lt;="&amp;$O$5)</f>
        <v>11</v>
      </c>
      <c r="L25" s="27" t="n">
        <f aca="false">SUMPRODUCT($C$20:$I$20,--($C$45:$I$45="A320"))+SUMPRODUCT($C$20:$I$20,--($C$46:$I$46="A320"))+SUMIFS($E$75:$E$114,$C$75:$C$114,$B25,$D$75:$D$114,"A320",$B$75:$B$114,"&gt;="&amp;$O$4,$B$75:$B$114,"&lt;="&amp;$O$5)</f>
        <v>0</v>
      </c>
    </row>
    <row r="26" customFormat="false" ht="15" hidden="false" customHeight="false" outlineLevel="0" collapsed="false">
      <c r="B26" s="13" t="str">
        <f aca="false">$B$47</f>
        <v>CDGDZA</v>
      </c>
      <c r="C26" s="20" t="str">
        <f aca="false">$K$47</f>
        <v>77W(1), 778(2)</v>
      </c>
      <c r="D26" s="20" t="str">
        <f aca="false">IF(COUNTA($C$47:$I$48)=0,"aucune operation",SUBSTITUTE(TRIM(IF(COUNTA($C$47:$C$48)&gt;0,"J1 ","")&amp;IF(COUNTA($D$47:$D$48)&gt;0,"J2 ","")&amp;IF(COUNTA($E$47:$E$48)&gt;0,"J3 ","")&amp;IF(COUNTA($F$47:$F$48)&gt;0,"J4 ","")&amp;IF(COUNTA($G$47:$G$48)&gt;0,"J5 ","")&amp;IF(COUNTA($H$47:$H$48)&gt;0,"J6 ","")&amp;IF(COUNTA($I$47:$I$48)&gt;0,"J7 ",""))," ",", "))</f>
        <v>J2, J5, J7</v>
      </c>
      <c r="E26" s="25" t="n">
        <f aca="false">$J$47</f>
        <v>3</v>
      </c>
      <c r="F26" s="25" t="n">
        <f aca="false">$C$21</f>
        <v>5</v>
      </c>
      <c r="G26" s="26" t="n">
        <f aca="false">H26+I26</f>
        <v>13</v>
      </c>
      <c r="H26" s="25" t="n">
        <f aca="false">SUMPRODUCT($C$20:$I$20,--($C$47:$I$47&lt;&gt;""))+SUMPRODUCT($C$20:$I$20,--($C$48:$I$48&lt;&gt;""))</f>
        <v>13</v>
      </c>
      <c r="I26" s="25" t="n">
        <f aca="false">SUMIFS($E$75:$E$114,$C$75:$C$114,$B26,$B$75:$B$114,"&gt;="&amp;$O$4,$B$75:$B$114,"&lt;="&amp;$O$5)</f>
        <v>0</v>
      </c>
      <c r="J26" s="27" t="n">
        <f aca="false">SUMPRODUCT($C$20:$I$20,--($C$47:$I$47="77W"))+SUMPRODUCT($C$20:$I$20,--($C$48:$I$48="77W"))+SUMIFS($E$75:$E$114,$C$75:$C$114,$B26,$D$75:$D$114,"77W",$B$75:$B$114,"&gt;="&amp;$O$4,$B$75:$B$114,"&lt;="&amp;$O$5)</f>
        <v>4</v>
      </c>
      <c r="K26" s="27" t="n">
        <f aca="false">SUMPRODUCT($C$20:$I$20,--($C$47:$I$47="778"))+SUMPRODUCT($C$20:$I$20,--($C$48:$I$48="778"))+SUMIFS($E$75:$E$114,$C$75:$C$114,$B26,$D$75:$D$114,"778",$B$75:$B$114,"&gt;="&amp;$O$4,$B$75:$B$114,"&lt;="&amp;$O$5)</f>
        <v>9</v>
      </c>
      <c r="L26" s="27" t="n">
        <f aca="false">SUMPRODUCT($C$20:$I$20,--($C$47:$I$47="A320"))+SUMPRODUCT($C$20:$I$20,--($C$48:$I$48="A320"))+SUMIFS($E$75:$E$114,$C$75:$C$114,$B26,$D$75:$D$114,"A320",$B$75:$B$114,"&gt;="&amp;$O$4,$B$75:$B$114,"&lt;="&amp;$O$5)</f>
        <v>0</v>
      </c>
    </row>
    <row r="27" customFormat="false" ht="15" hidden="false" customHeight="false" outlineLevel="0" collapsed="false">
      <c r="B27" s="13" t="str">
        <f aca="false">$B$49</f>
        <v>BKKRUN</v>
      </c>
      <c r="C27" s="20" t="str">
        <f aca="false">$K$49</f>
        <v>778(2)</v>
      </c>
      <c r="D27" s="20" t="str">
        <f aca="false">IF(COUNTA($C$49:$I$50)=0,"aucune operation",SUBSTITUTE(TRIM(IF(COUNTA($C$49:$C$50)&gt;0,"J1 ","")&amp;IF(COUNTA($D$49:$D$50)&gt;0,"J2 ","")&amp;IF(COUNTA($E$49:$E$50)&gt;0,"J3 ","")&amp;IF(COUNTA($F$49:$F$50)&gt;0,"J4 ","")&amp;IF(COUNTA($G$49:$G$50)&gt;0,"J5 ","")&amp;IF(COUNTA($H$49:$H$50)&gt;0,"J6 ","")&amp;IF(COUNTA($I$49:$I$50)&gt;0,"J7 ",""))," ",", "))</f>
        <v>J3, J6</v>
      </c>
      <c r="E27" s="25" t="n">
        <f aca="false">$J$49</f>
        <v>2</v>
      </c>
      <c r="F27" s="25" t="n">
        <f aca="false">$C$21</f>
        <v>5</v>
      </c>
      <c r="G27" s="26" t="n">
        <f aca="false">H27+I27</f>
        <v>8</v>
      </c>
      <c r="H27" s="25" t="n">
        <f aca="false">SUMPRODUCT($C$20:$I$20,--($C$49:$I$49&lt;&gt;""))+SUMPRODUCT($C$20:$I$20,--($C$50:$I$50&lt;&gt;""))</f>
        <v>8</v>
      </c>
      <c r="I27" s="25" t="n">
        <f aca="false">SUMIFS($E$75:$E$114,$C$75:$C$114,$B27,$B$75:$B$114,"&gt;="&amp;$O$4,$B$75:$B$114,"&lt;="&amp;$O$5)</f>
        <v>0</v>
      </c>
      <c r="J27" s="27" t="n">
        <f aca="false">SUMPRODUCT($C$20:$I$20,--($C$49:$I$49="77W"))+SUMPRODUCT($C$20:$I$20,--($C$50:$I$50="77W"))+SUMIFS($E$75:$E$114,$C$75:$C$114,$B27,$D$75:$D$114,"77W",$B$75:$B$114,"&gt;="&amp;$O$4,$B$75:$B$114,"&lt;="&amp;$O$5)</f>
        <v>0</v>
      </c>
      <c r="K27" s="27" t="n">
        <f aca="false">SUMPRODUCT($C$20:$I$20,--($C$49:$I$49="778"))+SUMPRODUCT($C$20:$I$20,--($C$50:$I$50="778"))+SUMIFS($E$75:$E$114,$C$75:$C$114,$B27,$D$75:$D$114,"778",$B$75:$B$114,"&gt;="&amp;$O$4,$B$75:$B$114,"&lt;="&amp;$O$5)</f>
        <v>8</v>
      </c>
      <c r="L27" s="27" t="n">
        <f aca="false">SUMPRODUCT($C$20:$I$20,--($C$49:$I$49="A320"))+SUMPRODUCT($C$20:$I$20,--($C$50:$I$50="A320"))+SUMIFS($E$75:$E$114,$C$75:$C$114,$B27,$D$75:$D$114,"A320",$B$75:$B$114,"&gt;="&amp;$O$4,$B$75:$B$114,"&lt;="&amp;$O$5)</f>
        <v>0</v>
      </c>
    </row>
    <row r="28" customFormat="false" ht="15" hidden="false" customHeight="false" outlineLevel="0" collapsed="false">
      <c r="B28" s="13" t="str">
        <f aca="false">$B$51</f>
        <v>DZARUN</v>
      </c>
      <c r="C28" s="20" t="str">
        <f aca="false">$K$51</f>
        <v>778(1), A320(5)</v>
      </c>
      <c r="D28" s="20" t="str">
        <f aca="false">IF(COUNTA($C$51:$I$52)=0,"aucune operation",SUBSTITUTE(TRIM(IF(COUNTA($C$51:$C$52)&gt;0,"J1 ","")&amp;IF(COUNTA($D$51:$D$52)&gt;0,"J2 ","")&amp;IF(COUNTA($E$51:$E$52)&gt;0,"J3 ","")&amp;IF(COUNTA($F$51:$F$52)&gt;0,"J4 ","")&amp;IF(COUNTA($G$51:$G$52)&gt;0,"J5 ","")&amp;IF(COUNTA($H$51:$H$52)&gt;0,"J6 ","")&amp;IF(COUNTA($I$51:$I$52)&gt;0,"J7 ",""))," ",", "))</f>
        <v>J1, J2, J3, J4, J5</v>
      </c>
      <c r="E28" s="25" t="n">
        <f aca="false">$J$51</f>
        <v>6</v>
      </c>
      <c r="F28" s="25" t="n">
        <f aca="false">$C$21</f>
        <v>5</v>
      </c>
      <c r="G28" s="26" t="n">
        <f aca="false">H28+I28</f>
        <v>26</v>
      </c>
      <c r="H28" s="25" t="n">
        <f aca="false">SUMPRODUCT($C$20:$I$20,--($C$51:$I$51&lt;&gt;""))+SUMPRODUCT($C$20:$I$20,--($C$52:$I$52&lt;&gt;""))</f>
        <v>26</v>
      </c>
      <c r="I28" s="25" t="n">
        <f aca="false">SUMIFS($E$75:$E$114,$C$75:$C$114,$B28,$B$75:$B$114,"&gt;="&amp;$O$4,$B$75:$B$114,"&lt;="&amp;$O$5)</f>
        <v>0</v>
      </c>
      <c r="J28" s="27" t="n">
        <f aca="false">SUMPRODUCT($C$20:$I$20,--($C$51:$I$51="77W"))+SUMPRODUCT($C$20:$I$20,--($C$52:$I$52="77W"))+SUMIFS($E$75:$E$114,$C$75:$C$114,$B28,$D$75:$D$114,"77W",$B$75:$B$114,"&gt;="&amp;$O$4,$B$75:$B$114,"&lt;="&amp;$O$5)</f>
        <v>0</v>
      </c>
      <c r="K28" s="27" t="n">
        <f aca="false">SUMPRODUCT($C$20:$I$20,--($C$51:$I$51="778"))+SUMPRODUCT($C$20:$I$20,--($C$52:$I$52="778"))+SUMIFS($E$75:$E$114,$C$75:$C$114,$B28,$D$75:$D$114,"778",$B$75:$B$114,"&gt;="&amp;$O$4,$B$75:$B$114,"&lt;="&amp;$O$5)</f>
        <v>4</v>
      </c>
      <c r="L28" s="27" t="n">
        <f aca="false">SUMPRODUCT($C$20:$I$20,--($C$51:$I$51="A320"))+SUMPRODUCT($C$20:$I$20,--($C$52:$I$52="A320"))+SUMIFS($E$75:$E$114,$C$75:$C$114,$B28,$D$75:$D$114,"A320",$B$75:$B$114,"&gt;="&amp;$O$4,$B$75:$B$114,"&lt;="&amp;$O$5)</f>
        <v>22</v>
      </c>
    </row>
    <row r="29" customFormat="false" ht="15" hidden="false" customHeight="false" outlineLevel="0" collapsed="false">
      <c r="B29" s="13" t="str">
        <f aca="false">$B$53</f>
        <v>MRURUN</v>
      </c>
      <c r="C29" s="20" t="str">
        <f aca="false">$K$53</f>
        <v>A320(4)</v>
      </c>
      <c r="D29" s="20" t="str">
        <f aca="false">IF(COUNTA($C$53:$I$54)=0,"aucune operation",SUBSTITUTE(TRIM(IF(COUNTA($C$53:$C$54)&gt;0,"J1 ","")&amp;IF(COUNTA($D$53:$D$54)&gt;0,"J2 ","")&amp;IF(COUNTA($E$53:$E$54)&gt;0,"J3 ","")&amp;IF(COUNTA($F$53:$F$54)&gt;0,"J4 ","")&amp;IF(COUNTA($G$53:$G$54)&gt;0,"J5 ","")&amp;IF(COUNTA($H$53:$H$54)&gt;0,"J6 ","")&amp;IF(COUNTA($I$53:$I$54)&gt;0,"J7 ",""))," ",", "))</f>
        <v>J1, J3, J5, J7</v>
      </c>
      <c r="E29" s="25" t="n">
        <f aca="false">$J$53</f>
        <v>4</v>
      </c>
      <c r="F29" s="25" t="n">
        <f aca="false">$C$21</f>
        <v>5</v>
      </c>
      <c r="G29" s="26" t="n">
        <f aca="false">H29+I29</f>
        <v>17</v>
      </c>
      <c r="H29" s="25" t="n">
        <f aca="false">SUMPRODUCT($C$20:$I$20,--($C$53:$I$53&lt;&gt;""))+SUMPRODUCT($C$20:$I$20,--($C$54:$I$54&lt;&gt;""))</f>
        <v>17</v>
      </c>
      <c r="I29" s="25" t="n">
        <f aca="false">SUMIFS($E$75:$E$114,$C$75:$C$114,$B29,$B$75:$B$114,"&gt;="&amp;$O$4,$B$75:$B$114,"&lt;="&amp;$O$5)</f>
        <v>0</v>
      </c>
      <c r="J29" s="27" t="n">
        <f aca="false">SUMPRODUCT($C$20:$I$20,--($C$53:$I$53="77W"))+SUMPRODUCT($C$20:$I$20,--($C$54:$I$54="77W"))+SUMIFS($E$75:$E$114,$C$75:$C$114,$B29,$D$75:$D$114,"77W",$B$75:$B$114,"&gt;="&amp;$O$4,$B$75:$B$114,"&lt;="&amp;$O$5)</f>
        <v>0</v>
      </c>
      <c r="K29" s="27" t="n">
        <f aca="false">SUMPRODUCT($C$20:$I$20,--($C$53:$I$53="778"))+SUMPRODUCT($C$20:$I$20,--($C$54:$I$54="778"))+SUMIFS($E$75:$E$114,$C$75:$C$114,$B29,$D$75:$D$114,"778",$B$75:$B$114,"&gt;="&amp;$O$4,$B$75:$B$114,"&lt;="&amp;$O$5)</f>
        <v>0</v>
      </c>
      <c r="L29" s="27" t="n">
        <f aca="false">SUMPRODUCT($C$20:$I$20,--($C$53:$I$53="A320"))+SUMPRODUCT($C$20:$I$20,--($C$54:$I$54="A320"))+SUMIFS($E$75:$E$114,$C$75:$C$114,$B29,$D$75:$D$114,"A320",$B$75:$B$114,"&gt;="&amp;$O$4,$B$75:$B$114,"&lt;="&amp;$O$5)</f>
        <v>17</v>
      </c>
    </row>
    <row r="30" customFormat="false" ht="15" hidden="false" customHeight="false" outlineLevel="0" collapsed="false">
      <c r="B30" s="13" t="str">
        <f aca="false">$B$55</f>
        <v>NOSRUN</v>
      </c>
      <c r="C30" s="20" t="str">
        <f aca="false">$K$55</f>
        <v>A320(3)</v>
      </c>
      <c r="D30" s="20" t="str">
        <f aca="false">IF(COUNTA($C$55:$I$56)=0,"aucune operation",SUBSTITUTE(TRIM(IF(COUNTA($C$55:$C$56)&gt;0,"J1 ","")&amp;IF(COUNTA($D$55:$D$56)&gt;0,"J2 ","")&amp;IF(COUNTA($E$55:$E$56)&gt;0,"J3 ","")&amp;IF(COUNTA($F$55:$F$56)&gt;0,"J4 ","")&amp;IF(COUNTA($G$55:$G$56)&gt;0,"J5 ","")&amp;IF(COUNTA($H$55:$H$56)&gt;0,"J6 ","")&amp;IF(COUNTA($I$55:$I$56)&gt;0,"J7 ",""))," ",", "))</f>
        <v>J1, J4, J6</v>
      </c>
      <c r="E30" s="25" t="n">
        <f aca="false">$J$55</f>
        <v>3</v>
      </c>
      <c r="F30" s="25" t="n">
        <f aca="false">$C$21</f>
        <v>5</v>
      </c>
      <c r="G30" s="26" t="n">
        <f aca="false">H30+I30</f>
        <v>15</v>
      </c>
      <c r="H30" s="25" t="n">
        <f aca="false">SUMPRODUCT($C$20:$I$20,--($C$55:$I$55&lt;&gt;""))+SUMPRODUCT($C$20:$I$20,--($C$56:$I$56&lt;&gt;""))</f>
        <v>13</v>
      </c>
      <c r="I30" s="25" t="n">
        <f aca="false">SUMIFS($E$75:$E$114,$C$75:$C$114,$B30,$B$75:$B$114,"&gt;="&amp;$O$4,$B$75:$B$114,"&lt;="&amp;$O$5)</f>
        <v>2</v>
      </c>
      <c r="J30" s="27" t="n">
        <f aca="false">SUMPRODUCT($C$20:$I$20,--($C$55:$I$55="77W"))+SUMPRODUCT($C$20:$I$20,--($C$56:$I$56="77W"))+SUMIFS($E$75:$E$114,$C$75:$C$114,$B30,$D$75:$D$114,"77W",$B$75:$B$114,"&gt;="&amp;$O$4,$B$75:$B$114,"&lt;="&amp;$O$5)</f>
        <v>0</v>
      </c>
      <c r="K30" s="27" t="n">
        <f aca="false">SUMPRODUCT($C$20:$I$20,--($C$55:$I$55="778"))+SUMPRODUCT($C$20:$I$20,--($C$56:$I$56="778"))+SUMIFS($E$75:$E$114,$C$75:$C$114,$B30,$D$75:$D$114,"778",$B$75:$B$114,"&gt;="&amp;$O$4,$B$75:$B$114,"&lt;="&amp;$O$5)</f>
        <v>0</v>
      </c>
      <c r="L30" s="27" t="n">
        <f aca="false">SUMPRODUCT($C$20:$I$20,--($C$55:$I$55="A320"))+SUMPRODUCT($C$20:$I$20,--($C$56:$I$56="A320"))+SUMIFS($E$75:$E$114,$C$75:$C$114,$B30,$D$75:$D$114,"A320",$B$75:$B$114,"&gt;="&amp;$O$4,$B$75:$B$114,"&lt;="&amp;$O$5)</f>
        <v>15</v>
      </c>
    </row>
    <row r="31" customFormat="false" ht="15" hidden="false" customHeight="false" outlineLevel="0" collapsed="false">
      <c r="B31" s="13" t="str">
        <f aca="false">$B$57</f>
        <v>RUNTNR</v>
      </c>
      <c r="C31" s="20" t="str">
        <f aca="false">$K$57</f>
        <v>A320(3)</v>
      </c>
      <c r="D31" s="20" t="str">
        <f aca="false">IF(COUNTA($C$57:$I$58)=0,"aucune operation",SUBSTITUTE(TRIM(IF(COUNTA($C$57:$C$58)&gt;0,"J1 ","")&amp;IF(COUNTA($D$57:$D$58)&gt;0,"J2 ","")&amp;IF(COUNTA($E$57:$E$58)&gt;0,"J3 ","")&amp;IF(COUNTA($F$57:$F$58)&gt;0,"J4 ","")&amp;IF(COUNTA($G$57:$G$58)&gt;0,"J5 ","")&amp;IF(COUNTA($H$57:$H$58)&gt;0,"J6 ","")&amp;IF(COUNTA($I$57:$I$58)&gt;0,"J7 ",""))," ",", "))</f>
        <v>J2, J4, J6</v>
      </c>
      <c r="E31" s="25" t="n">
        <f aca="false">$J$57</f>
        <v>3</v>
      </c>
      <c r="F31" s="25" t="n">
        <f aca="false">$C$21</f>
        <v>5</v>
      </c>
      <c r="G31" s="26" t="n">
        <f aca="false">H31+I31</f>
        <v>13</v>
      </c>
      <c r="H31" s="25" t="n">
        <f aca="false">SUMPRODUCT($C$20:$I$20,--($C$57:$I$57&lt;&gt;""))+SUMPRODUCT($C$20:$I$20,--($C$58:$I$58&lt;&gt;""))</f>
        <v>13</v>
      </c>
      <c r="I31" s="25" t="n">
        <f aca="false">SUMIFS($E$75:$E$114,$C$75:$C$114,$B31,$B$75:$B$114,"&gt;="&amp;$O$4,$B$75:$B$114,"&lt;="&amp;$O$5)</f>
        <v>0</v>
      </c>
      <c r="J31" s="27" t="n">
        <f aca="false">SUMPRODUCT($C$20:$I$20,--($C$57:$I$57="77W"))+SUMPRODUCT($C$20:$I$20,--($C$58:$I$58="77W"))+SUMIFS($E$75:$E$114,$C$75:$C$114,$B31,$D$75:$D$114,"77W",$B$75:$B$114,"&gt;="&amp;$O$4,$B$75:$B$114,"&lt;="&amp;$O$5)</f>
        <v>0</v>
      </c>
      <c r="K31" s="27" t="n">
        <f aca="false">SUMPRODUCT($C$20:$I$20,--($C$57:$I$57="778"))+SUMPRODUCT($C$20:$I$20,--($C$58:$I$58="778"))+SUMIFS($E$75:$E$114,$C$75:$C$114,$B31,$D$75:$D$114,"778",$B$75:$B$114,"&gt;="&amp;$O$4,$B$75:$B$114,"&lt;="&amp;$O$5)</f>
        <v>0</v>
      </c>
      <c r="L31" s="27" t="n">
        <f aca="false">SUMPRODUCT($C$20:$I$20,--($C$57:$I$57="A320"))+SUMPRODUCT($C$20:$I$20,--($C$58:$I$58="A320"))+SUMIFS($E$75:$E$114,$C$75:$C$114,$B31,$D$75:$D$114,"A320",$B$75:$B$114,"&gt;="&amp;$O$4,$B$75:$B$114,"&lt;="&amp;$O$5)</f>
        <v>13</v>
      </c>
    </row>
    <row r="32" customFormat="false" ht="15" hidden="false" customHeight="false" outlineLevel="0" collapsed="false">
      <c r="B32" s="13" t="str">
        <f aca="false">$B$59</f>
        <v>JNBRUN</v>
      </c>
      <c r="C32" s="20" t="str">
        <f aca="false">$K$59</f>
        <v>778(2)</v>
      </c>
      <c r="D32" s="20" t="str">
        <f aca="false">IF(COUNTA($C$59:$I$60)=0,"aucune operation",SUBSTITUTE(TRIM(IF(COUNTA($C$59:$C$60)&gt;0,"J1 ","")&amp;IF(COUNTA($D$59:$D$60)&gt;0,"J2 ","")&amp;IF(COUNTA($E$59:$E$60)&gt;0,"J3 ","")&amp;IF(COUNTA($F$59:$F$60)&gt;0,"J4 ","")&amp;IF(COUNTA($G$59:$G$60)&gt;0,"J5 ","")&amp;IF(COUNTA($H$59:$H$60)&gt;0,"J6 ","")&amp;IF(COUNTA($I$59:$I$60)&gt;0,"J7 ",""))," ",", "))</f>
        <v>J1, J5</v>
      </c>
      <c r="E32" s="25" t="n">
        <f aca="false">$J$59</f>
        <v>2</v>
      </c>
      <c r="F32" s="25" t="n">
        <f aca="false">$C$21</f>
        <v>5</v>
      </c>
      <c r="G32" s="26" t="n">
        <f aca="false">H32+I32</f>
        <v>9</v>
      </c>
      <c r="H32" s="25" t="n">
        <f aca="false">SUMPRODUCT($C$20:$I$20,--($C$59:$I$59&lt;&gt;""))+SUMPRODUCT($C$20:$I$20,--($C$60:$I$60&lt;&gt;""))</f>
        <v>9</v>
      </c>
      <c r="I32" s="25" t="n">
        <f aca="false">SUMIFS($E$75:$E$114,$C$75:$C$114,$B32,$B$75:$B$114,"&gt;="&amp;$O$4,$B$75:$B$114,"&lt;="&amp;$O$5)</f>
        <v>0</v>
      </c>
      <c r="J32" s="27" t="n">
        <f aca="false">SUMPRODUCT($C$20:$I$20,--($C$59:$I$59="77W"))+SUMPRODUCT($C$20:$I$20,--($C$60:$I$60="77W"))+SUMIFS($E$75:$E$114,$C$75:$C$114,$B32,$D$75:$D$114,"77W",$B$75:$B$114,"&gt;="&amp;$O$4,$B$75:$B$114,"&lt;="&amp;$O$5)</f>
        <v>0</v>
      </c>
      <c r="K32" s="27" t="n">
        <f aca="false">SUMPRODUCT($C$20:$I$20,--($C$59:$I$59="778"))+SUMPRODUCT($C$20:$I$20,--($C$60:$I$60="778"))+SUMIFS($E$75:$E$114,$C$75:$C$114,$B32,$D$75:$D$114,"778",$B$75:$B$114,"&gt;="&amp;$O$4,$B$75:$B$114,"&lt;="&amp;$O$5)</f>
        <v>9</v>
      </c>
      <c r="L32" s="27" t="n">
        <f aca="false">SUMPRODUCT($C$20:$I$20,--($C$59:$I$59="A320"))+SUMPRODUCT($C$20:$I$20,--($C$60:$I$60="A320"))+SUMIFS($E$75:$E$114,$C$75:$C$114,$B32,$D$75:$D$114,"A320",$B$75:$B$114,"&gt;="&amp;$O$4,$B$75:$B$114,"&lt;="&amp;$O$5)</f>
        <v>0</v>
      </c>
    </row>
    <row r="33" customFormat="false" ht="15" hidden="false" customHeight="false" outlineLevel="0" collapsed="false">
      <c r="B33" s="13" t="str">
        <f aca="false">$B$61</f>
        <v>CPTRUN</v>
      </c>
      <c r="C33" s="20" t="str">
        <f aca="false">$K$61</f>
        <v>778(1)</v>
      </c>
      <c r="D33" s="20" t="str">
        <f aca="false">IF(COUNTA($C$61:$I$62)=0,"aucune operation",SUBSTITUTE(TRIM(IF(COUNTA($C$61:$C$62)&gt;0,"J1 ","")&amp;IF(COUNTA($D$61:$D$62)&gt;0,"J2 ","")&amp;IF(COUNTA($E$61:$E$62)&gt;0,"J3 ","")&amp;IF(COUNTA($F$61:$F$62)&gt;0,"J4 ","")&amp;IF(COUNTA($G$61:$G$62)&gt;0,"J5 ","")&amp;IF(COUNTA($H$61:$H$62)&gt;0,"J6 ","")&amp;IF(COUNTA($I$61:$I$62)&gt;0,"J7 ",""))," ",", "))</f>
        <v>J4</v>
      </c>
      <c r="E33" s="25" t="n">
        <f aca="false">$J$61</f>
        <v>1</v>
      </c>
      <c r="F33" s="25" t="n">
        <f aca="false">$C$21</f>
        <v>5</v>
      </c>
      <c r="G33" s="26" t="n">
        <f aca="false">H33+I33</f>
        <v>5</v>
      </c>
      <c r="H33" s="25" t="n">
        <f aca="false">SUMPRODUCT($C$20:$I$20,--($C$61:$I$61&lt;&gt;""))+SUMPRODUCT($C$20:$I$20,--($C$62:$I$62&lt;&gt;""))</f>
        <v>5</v>
      </c>
      <c r="I33" s="25" t="n">
        <f aca="false">SUMIFS($E$75:$E$114,$C$75:$C$114,$B33,$B$75:$B$114,"&gt;="&amp;$O$4,$B$75:$B$114,"&lt;="&amp;$O$5)</f>
        <v>0</v>
      </c>
      <c r="J33" s="27" t="n">
        <f aca="false">SUMPRODUCT($C$20:$I$20,--($C$61:$I$61="77W"))+SUMPRODUCT($C$20:$I$20,--($C$62:$I$62="77W"))+SUMIFS($E$75:$E$114,$C$75:$C$114,$B33,$D$75:$D$114,"77W",$B$75:$B$114,"&gt;="&amp;$O$4,$B$75:$B$114,"&lt;="&amp;$O$5)</f>
        <v>0</v>
      </c>
      <c r="K33" s="27" t="n">
        <f aca="false">SUMPRODUCT($C$20:$I$20,--($C$61:$I$61="778"))+SUMPRODUCT($C$20:$I$20,--($C$62:$I$62="778"))+SUMIFS($E$75:$E$114,$C$75:$C$114,$B33,$D$75:$D$114,"778",$B$75:$B$114,"&gt;="&amp;$O$4,$B$75:$B$114,"&lt;="&amp;$O$5)</f>
        <v>5</v>
      </c>
      <c r="L33" s="27" t="n">
        <f aca="false">SUMPRODUCT($C$20:$I$20,--($C$61:$I$61="A320"))+SUMPRODUCT($C$20:$I$20,--($C$62:$I$62="A320"))+SUMIFS($E$75:$E$114,$C$75:$C$114,$B33,$D$75:$D$114,"A320",$B$75:$B$114,"&gt;="&amp;$O$4,$B$75:$B$114,"&lt;="&amp;$O$5)</f>
        <v>0</v>
      </c>
    </row>
    <row r="34" customFormat="false" ht="15" hidden="false" customHeight="false" outlineLevel="0" collapsed="false">
      <c r="B34" s="13" t="str">
        <f aca="false">$B$63</f>
        <v>DIERUN</v>
      </c>
      <c r="C34" s="20" t="str">
        <f aca="false">$K$63</f>
        <v>A320(2)</v>
      </c>
      <c r="D34" s="20" t="str">
        <f aca="false">IF(COUNTA($C$63:$I$64)=0,"aucune operation",SUBSTITUTE(TRIM(IF(COUNTA($C$63:$C$64)&gt;0,"J1 ","")&amp;IF(COUNTA($D$63:$D$64)&gt;0,"J2 ","")&amp;IF(COUNTA($E$63:$E$64)&gt;0,"J3 ","")&amp;IF(COUNTA($F$63:$F$64)&gt;0,"J4 ","")&amp;IF(COUNTA($G$63:$G$64)&gt;0,"J5 ","")&amp;IF(COUNTA($H$63:$H$64)&gt;0,"J6 ","")&amp;IF(COUNTA($I$63:$I$64)&gt;0,"J7 ",""))," ",", "))</f>
        <v>J2, J6</v>
      </c>
      <c r="E34" s="25" t="n">
        <f aca="false">$J$63</f>
        <v>2</v>
      </c>
      <c r="F34" s="25" t="n">
        <f aca="false">$C$21</f>
        <v>5</v>
      </c>
      <c r="G34" s="26" t="n">
        <f aca="false">H34+I34</f>
        <v>8</v>
      </c>
      <c r="H34" s="25" t="n">
        <f aca="false">SUMPRODUCT($C$20:$I$20,--($C$63:$I$63&lt;&gt;""))+SUMPRODUCT($C$20:$I$20,--($C$64:$I$64&lt;&gt;""))</f>
        <v>8</v>
      </c>
      <c r="I34" s="25" t="n">
        <f aca="false">SUMIFS($E$75:$E$114,$C$75:$C$114,$B34,$B$75:$B$114,"&gt;="&amp;$O$4,$B$75:$B$114,"&lt;="&amp;$O$5)</f>
        <v>0</v>
      </c>
      <c r="J34" s="27" t="n">
        <f aca="false">SUMPRODUCT($C$20:$I$20,--($C$63:$I$63="77W"))+SUMPRODUCT($C$20:$I$20,--($C$64:$I$64="77W"))+SUMIFS($E$75:$E$114,$C$75:$C$114,$B34,$D$75:$D$114,"77W",$B$75:$B$114,"&gt;="&amp;$O$4,$B$75:$B$114,"&lt;="&amp;$O$5)</f>
        <v>0</v>
      </c>
      <c r="K34" s="27" t="n">
        <f aca="false">SUMPRODUCT($C$20:$I$20,--($C$63:$I$63="778"))+SUMPRODUCT($C$20:$I$20,--($C$64:$I$64="778"))+SUMIFS($E$75:$E$114,$C$75:$C$114,$B34,$D$75:$D$114,"778",$B$75:$B$114,"&gt;="&amp;$O$4,$B$75:$B$114,"&lt;="&amp;$O$5)</f>
        <v>0</v>
      </c>
      <c r="L34" s="27" t="n">
        <f aca="false">SUMPRODUCT($C$20:$I$20,--($C$63:$I$63="A320"))+SUMPRODUCT($C$20:$I$20,--($C$64:$I$64="A320"))+SUMIFS($E$75:$E$114,$C$75:$C$114,$B34,$D$75:$D$114,"A320",$B$75:$B$114,"&gt;="&amp;$O$4,$B$75:$B$114,"&lt;="&amp;$O$5)</f>
        <v>8</v>
      </c>
    </row>
    <row r="35" customFormat="false" ht="15" hidden="false" customHeight="false" outlineLevel="0" collapsed="false">
      <c r="B35" s="13" t="str">
        <f aca="false">$B$65</f>
        <v>RRGRUN</v>
      </c>
      <c r="C35" s="20" t="str">
        <f aca="false">$K$65</f>
        <v>A320(7)</v>
      </c>
      <c r="D35" s="20" t="str">
        <f aca="false">IF(COUNTA($C$65:$I$66)=0,"aucune operation",SUBSTITUTE(TRIM(IF(COUNTA($C$65:$C$66)&gt;0,"J1 ","")&amp;IF(COUNTA($D$65:$D$66)&gt;0,"J2 ","")&amp;IF(COUNTA($E$65:$E$66)&gt;0,"J3 ","")&amp;IF(COUNTA($F$65:$F$66)&gt;0,"J4 ","")&amp;IF(COUNTA($G$65:$G$66)&gt;0,"J5 ","")&amp;IF(COUNTA($H$65:$H$66)&gt;0,"J6 ","")&amp;IF(COUNTA($I$65:$I$66)&gt;0,"J7 ",""))," ",", "))</f>
        <v>J1, J2, J3, J4, J5, J6</v>
      </c>
      <c r="E35" s="25" t="n">
        <f aca="false">$J$65</f>
        <v>7</v>
      </c>
      <c r="F35" s="25" t="n">
        <f aca="false">$C$21</f>
        <v>5</v>
      </c>
      <c r="G35" s="26" t="n">
        <f aca="false">H35+I35</f>
        <v>31</v>
      </c>
      <c r="H35" s="25" t="n">
        <f aca="false">SUMPRODUCT($C$20:$I$20,--($C$65:$I$65&lt;&gt;""))+SUMPRODUCT($C$20:$I$20,--($C$66:$I$66&lt;&gt;""))</f>
        <v>31</v>
      </c>
      <c r="I35" s="25" t="n">
        <f aca="false">SUMIFS($E$75:$E$114,$C$75:$C$114,$B35,$B$75:$B$114,"&gt;="&amp;$O$4,$B$75:$B$114,"&lt;="&amp;$O$5)</f>
        <v>0</v>
      </c>
      <c r="J35" s="27" t="n">
        <f aca="false">SUMPRODUCT($C$20:$I$20,--($C$65:$I$65="77W"))+SUMPRODUCT($C$20:$I$20,--($C$66:$I$66="77W"))+SUMIFS($E$75:$E$114,$C$75:$C$114,$B35,$D$75:$D$114,"77W",$B$75:$B$114,"&gt;="&amp;$O$4,$B$75:$B$114,"&lt;="&amp;$O$5)</f>
        <v>0</v>
      </c>
      <c r="K35" s="27" t="n">
        <f aca="false">SUMPRODUCT($C$20:$I$20,--($C$65:$I$65="778"))+SUMPRODUCT($C$20:$I$20,--($C$66:$I$66="778"))+SUMIFS($E$75:$E$114,$C$75:$C$114,$B35,$D$75:$D$114,"778",$B$75:$B$114,"&gt;="&amp;$O$4,$B$75:$B$114,"&lt;="&amp;$O$5)</f>
        <v>0</v>
      </c>
      <c r="L35" s="27" t="n">
        <f aca="false">SUMPRODUCT($C$20:$I$20,--($C$65:$I$65="A320"))+SUMPRODUCT($C$20:$I$20,--($C$66:$I$66="A320"))+SUMIFS($E$75:$E$114,$C$75:$C$114,$B35,$D$75:$D$114,"A320",$B$75:$B$114,"&gt;="&amp;$O$4,$B$75:$B$114,"&lt;="&amp;$O$5)</f>
        <v>31</v>
      </c>
    </row>
    <row r="36" customFormat="false" ht="15" hidden="false" customHeight="false" outlineLevel="0" collapsed="false">
      <c r="B36" s="13" t="str">
        <f aca="false">$B$67</f>
        <v>TMMRUN</v>
      </c>
      <c r="C36" s="20" t="str">
        <f aca="false">$K$67</f>
        <v>A320(2)</v>
      </c>
      <c r="D36" s="20" t="str">
        <f aca="false">IF(COUNTA($C$67:$I$68)=0,"aucune operation",SUBSTITUTE(TRIM(IF(COUNTA($C$67:$C$68)&gt;0,"J1 ","")&amp;IF(COUNTA($D$67:$D$68)&gt;0,"J2 ","")&amp;IF(COUNTA($E$67:$E$68)&gt;0,"J3 ","")&amp;IF(COUNTA($F$67:$F$68)&gt;0,"J4 ","")&amp;IF(COUNTA($G$67:$G$68)&gt;0,"J5 ","")&amp;IF(COUNTA($H$67:$H$68)&gt;0,"J6 ","")&amp;IF(COUNTA($I$67:$I$68)&gt;0,"J7 ",""))," ",", "))</f>
        <v>J3, J7</v>
      </c>
      <c r="E36" s="25" t="n">
        <f aca="false">$J$67</f>
        <v>2</v>
      </c>
      <c r="F36" s="25" t="n">
        <f aca="false">$C$21</f>
        <v>5</v>
      </c>
      <c r="G36" s="26" t="n">
        <f aca="false">H36+I36</f>
        <v>8</v>
      </c>
      <c r="H36" s="25" t="n">
        <f aca="false">SUMPRODUCT($C$20:$I$20,--($C$67:$I$67&lt;&gt;""))+SUMPRODUCT($C$20:$I$20,--($C$68:$I$68&lt;&gt;""))</f>
        <v>8</v>
      </c>
      <c r="I36" s="25" t="n">
        <f aca="false">SUMIFS($E$75:$E$114,$C$75:$C$114,$B36,$B$75:$B$114,"&gt;="&amp;$O$4,$B$75:$B$114,"&lt;="&amp;$O$5)</f>
        <v>0</v>
      </c>
      <c r="J36" s="27" t="n">
        <f aca="false">SUMPRODUCT($C$20:$I$20,--($C$67:$I$67="77W"))+SUMPRODUCT($C$20:$I$20,--($C$68:$I$68="77W"))+SUMIFS($E$75:$E$114,$C$75:$C$114,$B36,$D$75:$D$114,"77W",$B$75:$B$114,"&gt;="&amp;$O$4,$B$75:$B$114,"&lt;="&amp;$O$5)</f>
        <v>0</v>
      </c>
      <c r="K36" s="27" t="n">
        <f aca="false">SUMPRODUCT($C$20:$I$20,--($C$67:$I$67="778"))+SUMPRODUCT($C$20:$I$20,--($C$68:$I$68="778"))+SUMIFS($E$75:$E$114,$C$75:$C$114,$B36,$D$75:$D$114,"778",$B$75:$B$114,"&gt;="&amp;$O$4,$B$75:$B$114,"&lt;="&amp;$O$5)</f>
        <v>0</v>
      </c>
      <c r="L36" s="27" t="n">
        <f aca="false">SUMPRODUCT($C$20:$I$20,--($C$67:$I$67="A320"))+SUMPRODUCT($C$20:$I$20,--($C$68:$I$68="A320"))+SUMIFS($E$75:$E$114,$C$75:$C$114,$B36,$D$75:$D$114,"A320",$B$75:$B$114,"&gt;="&amp;$O$4,$B$75:$B$114,"&lt;="&amp;$O$5)</f>
        <v>8</v>
      </c>
    </row>
    <row r="37" customFormat="false" ht="15" hidden="false" customHeight="false" outlineLevel="0" collapsed="false">
      <c r="B37" s="28" t="s">
        <v>55</v>
      </c>
      <c r="C37" s="29"/>
      <c r="D37" s="29"/>
      <c r="E37" s="30" t="n">
        <f aca="false">SUM(E25:E36)</f>
        <v>44</v>
      </c>
      <c r="F37" s="30" t="n">
        <f aca="false">$C$21</f>
        <v>5</v>
      </c>
      <c r="G37" s="31" t="n">
        <f aca="false">SUM(G25:G36)</f>
        <v>194</v>
      </c>
      <c r="H37" s="30" t="n">
        <f aca="false">SUM(H25:H36)</f>
        <v>190</v>
      </c>
      <c r="I37" s="30" t="n">
        <f aca="false">SUM(I25:I36)</f>
        <v>4</v>
      </c>
      <c r="J37" s="30" t="n">
        <f aca="false">SUM(J25:J36)</f>
        <v>34</v>
      </c>
      <c r="K37" s="30" t="n">
        <f aca="false">SUM(K25:K36)</f>
        <v>46</v>
      </c>
      <c r="L37" s="30" t="n">
        <f aca="false">SUM(L25:L36)</f>
        <v>114</v>
      </c>
    </row>
    <row r="38" customFormat="false" ht="15" hidden="false" customHeight="true" outlineLevel="0" collapsed="false">
      <c r="B38" s="32" t="s">
        <v>56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</row>
    <row r="39" customFormat="false" ht="15" hidden="false" customHeight="false" outlineLevel="0" collapsed="false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</row>
    <row r="41" customFormat="false" ht="15" hidden="false" customHeight="false" outlineLevel="0" collapsed="false">
      <c r="B41" s="33" t="s">
        <v>57</v>
      </c>
      <c r="C41" s="33"/>
      <c r="D41" s="33"/>
      <c r="E41" s="33"/>
      <c r="F41" s="33"/>
      <c r="G41" s="33"/>
      <c r="H41" s="33"/>
      <c r="I41" s="33"/>
      <c r="J41" s="33"/>
      <c r="K41" s="33"/>
      <c r="L41" s="33"/>
    </row>
    <row r="42" customFormat="false" ht="15" hidden="false" customHeight="true" outlineLevel="0" collapsed="false">
      <c r="B42" s="34" t="s">
        <v>58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</row>
    <row r="43" customFormat="false" ht="15" hidden="false" customHeight="false" outlineLevel="0" collapsed="false"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</row>
    <row r="44" customFormat="false" ht="27.75" hidden="false" customHeight="true" outlineLevel="0" collapsed="false">
      <c r="B44" s="35" t="s">
        <v>59</v>
      </c>
      <c r="C44" s="35" t="s">
        <v>14</v>
      </c>
      <c r="D44" s="35" t="s">
        <v>15</v>
      </c>
      <c r="E44" s="35" t="s">
        <v>16</v>
      </c>
      <c r="F44" s="35" t="s">
        <v>17</v>
      </c>
      <c r="G44" s="35" t="s">
        <v>18</v>
      </c>
      <c r="H44" s="35" t="s">
        <v>19</v>
      </c>
      <c r="I44" s="35" t="s">
        <v>20</v>
      </c>
      <c r="J44" s="35" t="s">
        <v>60</v>
      </c>
      <c r="K44" s="35" t="s">
        <v>61</v>
      </c>
      <c r="L44" s="35" t="s">
        <v>62</v>
      </c>
      <c r="N44" s="36" t="s">
        <v>63</v>
      </c>
      <c r="O44" s="36" t="s">
        <v>64</v>
      </c>
      <c r="P44" s="36" t="s">
        <v>65</v>
      </c>
    </row>
    <row r="45" customFormat="false" ht="15" hidden="false" customHeight="false" outlineLevel="0" collapsed="false">
      <c r="B45" s="37" t="s">
        <v>66</v>
      </c>
      <c r="C45" s="38" t="s">
        <v>67</v>
      </c>
      <c r="D45" s="38" t="s">
        <v>67</v>
      </c>
      <c r="E45" s="38" t="s">
        <v>67</v>
      </c>
      <c r="F45" s="38" t="s">
        <v>67</v>
      </c>
      <c r="G45" s="38" t="s">
        <v>67</v>
      </c>
      <c r="H45" s="38" t="s">
        <v>67</v>
      </c>
      <c r="I45" s="38" t="s">
        <v>67</v>
      </c>
      <c r="J45" s="39" t="n">
        <f aca="false">COUNTA(C45:I46)</f>
        <v>9</v>
      </c>
      <c r="K45" s="20" t="str">
        <f aca="false">IF(COUNTA(C45:I46)=0,"-",SUBSTITUTE(TRIM(IF(COUNTIF(C45:I46,"77W")&gt;0,"77W("&amp;COUNTIF(C45:I46,"77W")&amp;") ","")&amp;IF(COUNTIF(C45:I46,"778")&gt;0,"778("&amp;COUNTIF(C45:I46,"778")&amp;") ","")&amp;IF(COUNTIF(C45:I46,"A320")&gt;0,"A320("&amp;COUNTIF(C45:I46,"A320")&amp;") ",""))," ",", "))</f>
        <v>77W(7), 778(2)</v>
      </c>
      <c r="L45" s="40"/>
      <c r="N45" s="41" t="s">
        <v>4</v>
      </c>
      <c r="O45" s="42" t="n">
        <f aca="false">DATE(2027,4,1)</f>
        <v>46478</v>
      </c>
      <c r="P45" s="20" t="s">
        <v>67</v>
      </c>
    </row>
    <row r="46" customFormat="false" ht="15" hidden="false" customHeight="false" outlineLevel="0" collapsed="false">
      <c r="B46" s="43" t="s">
        <v>68</v>
      </c>
      <c r="C46" s="38" t="s">
        <v>69</v>
      </c>
      <c r="D46" s="38"/>
      <c r="E46" s="38"/>
      <c r="F46" s="38"/>
      <c r="G46" s="38" t="s">
        <v>69</v>
      </c>
      <c r="H46" s="38"/>
      <c r="I46" s="38"/>
      <c r="J46" s="39"/>
      <c r="K46" s="39"/>
      <c r="L46" s="40"/>
      <c r="N46" s="41" t="s">
        <v>70</v>
      </c>
      <c r="O46" s="42" t="n">
        <f aca="false">DATE(2027,5,1)</f>
        <v>46508</v>
      </c>
      <c r="P46" s="20" t="s">
        <v>69</v>
      </c>
    </row>
    <row r="47" customFormat="false" ht="15" hidden="false" customHeight="false" outlineLevel="0" collapsed="false">
      <c r="B47" s="37" t="s">
        <v>71</v>
      </c>
      <c r="C47" s="38"/>
      <c r="D47" s="38" t="s">
        <v>69</v>
      </c>
      <c r="E47" s="38"/>
      <c r="F47" s="38"/>
      <c r="G47" s="38" t="s">
        <v>69</v>
      </c>
      <c r="H47" s="38"/>
      <c r="I47" s="38" t="s">
        <v>67</v>
      </c>
      <c r="J47" s="39" t="n">
        <f aca="false">COUNTA(C47:I48)</f>
        <v>3</v>
      </c>
      <c r="K47" s="20" t="str">
        <f aca="false">IF(COUNTA(C47:I48)=0,"-",SUBSTITUTE(TRIM(IF(COUNTIF(C47:I48,"77W")&gt;0,"77W("&amp;COUNTIF(C47:I48,"77W")&amp;") ","")&amp;IF(COUNTIF(C47:I48,"778")&gt;0,"778("&amp;COUNTIF(C47:I48,"778")&amp;") ","")&amp;IF(COUNTIF(C47:I48,"A320")&gt;0,"A320("&amp;COUNTIF(C47:I48,"A320")&amp;") ",""))," ",", "))</f>
        <v>77W(1), 778(2)</v>
      </c>
      <c r="L47" s="44"/>
      <c r="N47" s="41" t="s">
        <v>72</v>
      </c>
      <c r="O47" s="42" t="n">
        <f aca="false">DATE(2027,6,1)</f>
        <v>46539</v>
      </c>
      <c r="P47" s="20" t="s">
        <v>73</v>
      </c>
    </row>
    <row r="48" customFormat="false" ht="15" hidden="false" customHeight="false" outlineLevel="0" collapsed="false">
      <c r="B48" s="43" t="s">
        <v>68</v>
      </c>
      <c r="C48" s="38"/>
      <c r="D48" s="38"/>
      <c r="E48" s="38"/>
      <c r="F48" s="38"/>
      <c r="G48" s="38"/>
      <c r="H48" s="38"/>
      <c r="I48" s="38"/>
      <c r="J48" s="39"/>
      <c r="K48" s="39"/>
      <c r="L48" s="44"/>
      <c r="N48" s="41" t="s">
        <v>74</v>
      </c>
      <c r="O48" s="42" t="n">
        <f aca="false">DATE(2027,7,1)</f>
        <v>46569</v>
      </c>
    </row>
    <row r="49" customFormat="false" ht="15" hidden="false" customHeight="false" outlineLevel="0" collapsed="false">
      <c r="B49" s="37" t="s">
        <v>75</v>
      </c>
      <c r="C49" s="38"/>
      <c r="D49" s="38"/>
      <c r="E49" s="38" t="s">
        <v>69</v>
      </c>
      <c r="F49" s="38"/>
      <c r="G49" s="38"/>
      <c r="H49" s="38" t="s">
        <v>69</v>
      </c>
      <c r="I49" s="38"/>
      <c r="J49" s="39" t="n">
        <f aca="false">COUNTA(C49:I50)</f>
        <v>2</v>
      </c>
      <c r="K49" s="20" t="str">
        <f aca="false">IF(COUNTA(C49:I50)=0,"-",SUBSTITUTE(TRIM(IF(COUNTIF(C49:I50,"77W")&gt;0,"77W("&amp;COUNTIF(C49:I50,"77W")&amp;") ","")&amp;IF(COUNTIF(C49:I50,"778")&gt;0,"778("&amp;COUNTIF(C49:I50,"778")&amp;") ","")&amp;IF(COUNTIF(C49:I50,"A320")&gt;0,"A320("&amp;COUNTIF(C49:I50,"A320")&amp;") ",""))," ",", "))</f>
        <v>778(2)</v>
      </c>
      <c r="L49" s="45"/>
      <c r="N49" s="41" t="s">
        <v>76</v>
      </c>
      <c r="O49" s="42" t="n">
        <f aca="false">DATE(2027,8,1)</f>
        <v>46600</v>
      </c>
    </row>
    <row r="50" customFormat="false" ht="15" hidden="false" customHeight="false" outlineLevel="0" collapsed="false">
      <c r="B50" s="43" t="s">
        <v>68</v>
      </c>
      <c r="C50" s="38"/>
      <c r="D50" s="38"/>
      <c r="E50" s="38"/>
      <c r="F50" s="38"/>
      <c r="G50" s="38"/>
      <c r="H50" s="38"/>
      <c r="I50" s="38"/>
      <c r="J50" s="39"/>
      <c r="K50" s="39"/>
      <c r="L50" s="45"/>
      <c r="N50" s="41" t="s">
        <v>77</v>
      </c>
      <c r="O50" s="42" t="n">
        <f aca="false">DATE(2027,9,1)</f>
        <v>46631</v>
      </c>
    </row>
    <row r="51" customFormat="false" ht="15" hidden="false" customHeight="false" outlineLevel="0" collapsed="false">
      <c r="B51" s="37" t="s">
        <v>78</v>
      </c>
      <c r="C51" s="38" t="s">
        <v>73</v>
      </c>
      <c r="D51" s="38" t="s">
        <v>73</v>
      </c>
      <c r="E51" s="38" t="s">
        <v>73</v>
      </c>
      <c r="F51" s="38" t="s">
        <v>73</v>
      </c>
      <c r="G51" s="38" t="s">
        <v>73</v>
      </c>
      <c r="H51" s="38"/>
      <c r="I51" s="38"/>
      <c r="J51" s="39" t="n">
        <f aca="false">COUNTA(C51:I52)</f>
        <v>6</v>
      </c>
      <c r="K51" s="20" t="str">
        <f aca="false">IF(COUNTA(C51:I52)=0,"-",SUBSTITUTE(TRIM(IF(COUNTIF(C51:I52,"77W")&gt;0,"77W("&amp;COUNTIF(C51:I52,"77W")&amp;") ","")&amp;IF(COUNTIF(C51:I52,"778")&gt;0,"778("&amp;COUNTIF(C51:I52,"778")&amp;") ","")&amp;IF(COUNTIF(C51:I52,"A320")&gt;0,"A320("&amp;COUNTIF(C51:I52,"A320")&amp;") ",""))," ",", "))</f>
        <v>778(1), A320(5)</v>
      </c>
      <c r="L51" s="46"/>
      <c r="N51" s="41" t="s">
        <v>79</v>
      </c>
      <c r="O51" s="42" t="n">
        <f aca="false">DATE(2027,10,1)</f>
        <v>46661</v>
      </c>
    </row>
    <row r="52" customFormat="false" ht="15" hidden="false" customHeight="false" outlineLevel="0" collapsed="false">
      <c r="B52" s="43" t="s">
        <v>68</v>
      </c>
      <c r="C52" s="38"/>
      <c r="D52" s="38"/>
      <c r="E52" s="38" t="s">
        <v>69</v>
      </c>
      <c r="F52" s="38"/>
      <c r="G52" s="38"/>
      <c r="H52" s="38"/>
      <c r="I52" s="38"/>
      <c r="J52" s="39"/>
      <c r="K52" s="39"/>
      <c r="L52" s="46"/>
      <c r="N52" s="41" t="s">
        <v>80</v>
      </c>
      <c r="O52" s="42" t="n">
        <f aca="false">DATE(2027,11,1)</f>
        <v>46692</v>
      </c>
    </row>
    <row r="53" customFormat="false" ht="15" hidden="false" customHeight="false" outlineLevel="0" collapsed="false">
      <c r="B53" s="37" t="s">
        <v>81</v>
      </c>
      <c r="C53" s="38" t="s">
        <v>73</v>
      </c>
      <c r="D53" s="38"/>
      <c r="E53" s="38" t="s">
        <v>73</v>
      </c>
      <c r="F53" s="38"/>
      <c r="G53" s="38" t="s">
        <v>73</v>
      </c>
      <c r="H53" s="38"/>
      <c r="I53" s="38" t="s">
        <v>73</v>
      </c>
      <c r="J53" s="39" t="n">
        <f aca="false">COUNTA(C53:I54)</f>
        <v>4</v>
      </c>
      <c r="K53" s="20" t="str">
        <f aca="false">IF(COUNTA(C53:I54)=0,"-",SUBSTITUTE(TRIM(IF(COUNTIF(C53:I54,"77W")&gt;0,"77W("&amp;COUNTIF(C53:I54,"77W")&amp;") ","")&amp;IF(COUNTIF(C53:I54,"778")&gt;0,"778("&amp;COUNTIF(C53:I54,"778")&amp;") ","")&amp;IF(COUNTIF(C53:I54,"A320")&gt;0,"A320("&amp;COUNTIF(C53:I54,"A320")&amp;") ",""))," ",", "))</f>
        <v>A320(4)</v>
      </c>
      <c r="L53" s="47"/>
      <c r="N53" s="41" t="s">
        <v>82</v>
      </c>
      <c r="O53" s="42" t="n">
        <f aca="false">DATE(2027,12,1)</f>
        <v>46722</v>
      </c>
    </row>
    <row r="54" customFormat="false" ht="15" hidden="false" customHeight="false" outlineLevel="0" collapsed="false">
      <c r="B54" s="43" t="s">
        <v>68</v>
      </c>
      <c r="C54" s="38"/>
      <c r="D54" s="38"/>
      <c r="E54" s="38"/>
      <c r="F54" s="38"/>
      <c r="G54" s="38"/>
      <c r="H54" s="38"/>
      <c r="I54" s="38"/>
      <c r="J54" s="39"/>
      <c r="K54" s="39"/>
      <c r="L54" s="47"/>
      <c r="N54" s="41" t="s">
        <v>83</v>
      </c>
      <c r="O54" s="42" t="n">
        <f aca="false">DATE(2028,1,1)</f>
        <v>46753</v>
      </c>
    </row>
    <row r="55" customFormat="false" ht="15" hidden="false" customHeight="false" outlineLevel="0" collapsed="false">
      <c r="B55" s="37" t="s">
        <v>8</v>
      </c>
      <c r="C55" s="38" t="s">
        <v>73</v>
      </c>
      <c r="D55" s="38"/>
      <c r="E55" s="38"/>
      <c r="F55" s="38" t="s">
        <v>73</v>
      </c>
      <c r="G55" s="38"/>
      <c r="H55" s="38" t="s">
        <v>73</v>
      </c>
      <c r="I55" s="38"/>
      <c r="J55" s="39" t="n">
        <f aca="false">COUNTA(C55:I56)</f>
        <v>3</v>
      </c>
      <c r="K55" s="20" t="str">
        <f aca="false">IF(COUNTA(C55:I56)=0,"-",SUBSTITUTE(TRIM(IF(COUNTIF(C55:I56,"77W")&gt;0,"77W("&amp;COUNTIF(C55:I56,"77W")&amp;") ","")&amp;IF(COUNTIF(C55:I56,"778")&gt;0,"778("&amp;COUNTIF(C55:I56,"778")&amp;") ","")&amp;IF(COUNTIF(C55:I56,"A320")&gt;0,"A320("&amp;COUNTIF(C55:I56,"A320")&amp;") ",""))," ",", "))</f>
        <v>A320(3)</v>
      </c>
      <c r="L55" s="48"/>
      <c r="N55" s="41" t="s">
        <v>84</v>
      </c>
      <c r="O55" s="42" t="n">
        <f aca="false">DATE(2028,2,1)</f>
        <v>46784</v>
      </c>
    </row>
    <row r="56" customFormat="false" ht="15" hidden="false" customHeight="false" outlineLevel="0" collapsed="false">
      <c r="B56" s="43" t="s">
        <v>68</v>
      </c>
      <c r="C56" s="38"/>
      <c r="D56" s="38"/>
      <c r="E56" s="38"/>
      <c r="F56" s="38"/>
      <c r="G56" s="38"/>
      <c r="H56" s="38"/>
      <c r="I56" s="38"/>
      <c r="J56" s="39"/>
      <c r="K56" s="39"/>
      <c r="L56" s="48"/>
      <c r="N56" s="41" t="s">
        <v>85</v>
      </c>
      <c r="O56" s="42" t="n">
        <f aca="false">DATE(2028,3,1)</f>
        <v>46813</v>
      </c>
    </row>
    <row r="57" customFormat="false" ht="15" hidden="false" customHeight="false" outlineLevel="0" collapsed="false">
      <c r="B57" s="37" t="s">
        <v>86</v>
      </c>
      <c r="C57" s="38"/>
      <c r="D57" s="38" t="s">
        <v>73</v>
      </c>
      <c r="E57" s="38"/>
      <c r="F57" s="38" t="s">
        <v>73</v>
      </c>
      <c r="G57" s="38"/>
      <c r="H57" s="38" t="s">
        <v>73</v>
      </c>
      <c r="I57" s="38"/>
      <c r="J57" s="39" t="n">
        <f aca="false">COUNTA(C57:I58)</f>
        <v>3</v>
      </c>
      <c r="K57" s="20" t="str">
        <f aca="false">IF(COUNTA(C57:I58)=0,"-",SUBSTITUTE(TRIM(IF(COUNTIF(C57:I58,"77W")&gt;0,"77W("&amp;COUNTIF(C57:I58,"77W")&amp;") ","")&amp;IF(COUNTIF(C57:I58,"778")&gt;0,"778("&amp;COUNTIF(C57:I58,"778")&amp;") ","")&amp;IF(COUNTIF(C57:I58,"A320")&gt;0,"A320("&amp;COUNTIF(C57:I58,"A320")&amp;") ",""))," ",", "))</f>
        <v>A320(3)</v>
      </c>
      <c r="L57" s="49"/>
    </row>
    <row r="58" customFormat="false" ht="15" hidden="false" customHeight="false" outlineLevel="0" collapsed="false">
      <c r="B58" s="43" t="s">
        <v>68</v>
      </c>
      <c r="C58" s="38"/>
      <c r="D58" s="38"/>
      <c r="E58" s="38"/>
      <c r="F58" s="38"/>
      <c r="G58" s="38"/>
      <c r="H58" s="38"/>
      <c r="I58" s="38"/>
      <c r="J58" s="39"/>
      <c r="K58" s="39"/>
      <c r="L58" s="49"/>
    </row>
    <row r="59" customFormat="false" ht="15" hidden="false" customHeight="false" outlineLevel="0" collapsed="false">
      <c r="B59" s="37" t="s">
        <v>87</v>
      </c>
      <c r="C59" s="38" t="s">
        <v>69</v>
      </c>
      <c r="D59" s="38"/>
      <c r="E59" s="38"/>
      <c r="F59" s="38"/>
      <c r="G59" s="38" t="s">
        <v>69</v>
      </c>
      <c r="H59" s="38"/>
      <c r="I59" s="38"/>
      <c r="J59" s="39" t="n">
        <f aca="false">COUNTA(C59:I60)</f>
        <v>2</v>
      </c>
      <c r="K59" s="20" t="str">
        <f aca="false">IF(COUNTA(C59:I60)=0,"-",SUBSTITUTE(TRIM(IF(COUNTIF(C59:I60,"77W")&gt;0,"77W("&amp;COUNTIF(C59:I60,"77W")&amp;") ","")&amp;IF(COUNTIF(C59:I60,"778")&gt;0,"778("&amp;COUNTIF(C59:I60,"778")&amp;") ","")&amp;IF(COUNTIF(C59:I60,"A320")&gt;0,"A320("&amp;COUNTIF(C59:I60,"A320")&amp;") ",""))," ",", "))</f>
        <v>778(2)</v>
      </c>
      <c r="L59" s="50"/>
    </row>
    <row r="60" customFormat="false" ht="15" hidden="false" customHeight="false" outlineLevel="0" collapsed="false">
      <c r="B60" s="43" t="s">
        <v>68</v>
      </c>
      <c r="C60" s="38"/>
      <c r="D60" s="38"/>
      <c r="E60" s="38"/>
      <c r="F60" s="38"/>
      <c r="G60" s="38"/>
      <c r="H60" s="38"/>
      <c r="I60" s="38"/>
      <c r="J60" s="39"/>
      <c r="K60" s="39"/>
      <c r="L60" s="50"/>
    </row>
    <row r="61" customFormat="false" ht="15" hidden="false" customHeight="false" outlineLevel="0" collapsed="false">
      <c r="B61" s="37" t="s">
        <v>88</v>
      </c>
      <c r="C61" s="38"/>
      <c r="D61" s="38"/>
      <c r="E61" s="38"/>
      <c r="F61" s="38" t="s">
        <v>69</v>
      </c>
      <c r="G61" s="38"/>
      <c r="H61" s="38"/>
      <c r="I61" s="38"/>
      <c r="J61" s="39" t="n">
        <f aca="false">COUNTA(C61:I62)</f>
        <v>1</v>
      </c>
      <c r="K61" s="20" t="str">
        <f aca="false">IF(COUNTA(C61:I62)=0,"-",SUBSTITUTE(TRIM(IF(COUNTIF(C61:I62,"77W")&gt;0,"77W("&amp;COUNTIF(C61:I62,"77W")&amp;") ","")&amp;IF(COUNTIF(C61:I62,"778")&gt;0,"778("&amp;COUNTIF(C61:I62,"778")&amp;") ","")&amp;IF(COUNTIF(C61:I62,"A320")&gt;0,"A320("&amp;COUNTIF(C61:I62,"A320")&amp;") ",""))," ",", "))</f>
        <v>778(1)</v>
      </c>
      <c r="L61" s="51"/>
    </row>
    <row r="62" customFormat="false" ht="15" hidden="false" customHeight="false" outlineLevel="0" collapsed="false">
      <c r="B62" s="43" t="s">
        <v>68</v>
      </c>
      <c r="C62" s="38"/>
      <c r="D62" s="38"/>
      <c r="E62" s="38"/>
      <c r="F62" s="38"/>
      <c r="G62" s="38"/>
      <c r="H62" s="38"/>
      <c r="I62" s="38"/>
      <c r="J62" s="39"/>
      <c r="K62" s="39"/>
      <c r="L62" s="51"/>
    </row>
    <row r="63" customFormat="false" ht="15" hidden="false" customHeight="false" outlineLevel="0" collapsed="false">
      <c r="B63" s="37" t="s">
        <v>89</v>
      </c>
      <c r="C63" s="38"/>
      <c r="D63" s="38" t="s">
        <v>73</v>
      </c>
      <c r="E63" s="38"/>
      <c r="F63" s="38"/>
      <c r="G63" s="38"/>
      <c r="H63" s="38" t="s">
        <v>73</v>
      </c>
      <c r="I63" s="38"/>
      <c r="J63" s="39" t="n">
        <f aca="false">COUNTA(C63:I64)</f>
        <v>2</v>
      </c>
      <c r="K63" s="20" t="str">
        <f aca="false">IF(COUNTA(C63:I64)=0,"-",SUBSTITUTE(TRIM(IF(COUNTIF(C63:I64,"77W")&gt;0,"77W("&amp;COUNTIF(C63:I64,"77W")&amp;") ","")&amp;IF(COUNTIF(C63:I64,"778")&gt;0,"778("&amp;COUNTIF(C63:I64,"778")&amp;") ","")&amp;IF(COUNTIF(C63:I64,"A320")&gt;0,"A320("&amp;COUNTIF(C63:I64,"A320")&amp;") ",""))," ",", "))</f>
        <v>A320(2)</v>
      </c>
      <c r="L63" s="52"/>
    </row>
    <row r="64" customFormat="false" ht="15" hidden="false" customHeight="false" outlineLevel="0" collapsed="false">
      <c r="B64" s="43" t="s">
        <v>68</v>
      </c>
      <c r="C64" s="38"/>
      <c r="D64" s="38"/>
      <c r="E64" s="38"/>
      <c r="F64" s="38"/>
      <c r="G64" s="38"/>
      <c r="H64" s="38"/>
      <c r="I64" s="38"/>
      <c r="J64" s="39"/>
      <c r="K64" s="39"/>
      <c r="L64" s="52"/>
    </row>
    <row r="65" customFormat="false" ht="15" hidden="false" customHeight="false" outlineLevel="0" collapsed="false">
      <c r="B65" s="37" t="s">
        <v>90</v>
      </c>
      <c r="C65" s="38" t="s">
        <v>73</v>
      </c>
      <c r="D65" s="38" t="s">
        <v>73</v>
      </c>
      <c r="E65" s="38" t="s">
        <v>73</v>
      </c>
      <c r="F65" s="38" t="s">
        <v>73</v>
      </c>
      <c r="G65" s="38" t="s">
        <v>73</v>
      </c>
      <c r="H65" s="38" t="s">
        <v>73</v>
      </c>
      <c r="I65" s="38"/>
      <c r="J65" s="39" t="n">
        <f aca="false">COUNTA(C65:I66)</f>
        <v>7</v>
      </c>
      <c r="K65" s="20" t="str">
        <f aca="false">IF(COUNTA(C65:I66)=0,"-",SUBSTITUTE(TRIM(IF(COUNTIF(C65:I66,"77W")&gt;0,"77W("&amp;COUNTIF(C65:I66,"77W")&amp;") ","")&amp;IF(COUNTIF(C65:I66,"778")&gt;0,"778("&amp;COUNTIF(C65:I66,"778")&amp;") ","")&amp;IF(COUNTIF(C65:I66,"A320")&gt;0,"A320("&amp;COUNTIF(C65:I66,"A320")&amp;") ",""))," ",", "))</f>
        <v>A320(7)</v>
      </c>
      <c r="L65" s="53"/>
    </row>
    <row r="66" customFormat="false" ht="15" hidden="false" customHeight="false" outlineLevel="0" collapsed="false">
      <c r="B66" s="43" t="s">
        <v>68</v>
      </c>
      <c r="C66" s="38"/>
      <c r="D66" s="38"/>
      <c r="E66" s="38"/>
      <c r="F66" s="38"/>
      <c r="G66" s="38" t="s">
        <v>73</v>
      </c>
      <c r="H66" s="38"/>
      <c r="I66" s="38"/>
      <c r="J66" s="39"/>
      <c r="K66" s="39"/>
      <c r="L66" s="53"/>
    </row>
    <row r="67" customFormat="false" ht="15" hidden="false" customHeight="false" outlineLevel="0" collapsed="false">
      <c r="B67" s="37" t="s">
        <v>91</v>
      </c>
      <c r="C67" s="38"/>
      <c r="D67" s="38"/>
      <c r="E67" s="38" t="s">
        <v>73</v>
      </c>
      <c r="F67" s="38"/>
      <c r="G67" s="38"/>
      <c r="H67" s="38"/>
      <c r="I67" s="38" t="s">
        <v>73</v>
      </c>
      <c r="J67" s="39" t="n">
        <f aca="false">COUNTA(C67:I68)</f>
        <v>2</v>
      </c>
      <c r="K67" s="20" t="str">
        <f aca="false">IF(COUNTA(C67:I68)=0,"-",SUBSTITUTE(TRIM(IF(COUNTIF(C67:I68,"77W")&gt;0,"77W("&amp;COUNTIF(C67:I68,"77W")&amp;") ","")&amp;IF(COUNTIF(C67:I68,"778")&gt;0,"778("&amp;COUNTIF(C67:I68,"778")&amp;") ","")&amp;IF(COUNTIF(C67:I68,"A320")&gt;0,"A320("&amp;COUNTIF(C67:I68,"A320")&amp;") ",""))," ",", "))</f>
        <v>A320(2)</v>
      </c>
      <c r="L67" s="54"/>
    </row>
    <row r="68" customFormat="false" ht="15" hidden="false" customHeight="false" outlineLevel="0" collapsed="false">
      <c r="B68" s="43" t="s">
        <v>68</v>
      </c>
      <c r="C68" s="38"/>
      <c r="D68" s="38"/>
      <c r="E68" s="38"/>
      <c r="F68" s="38"/>
      <c r="G68" s="38"/>
      <c r="H68" s="38"/>
      <c r="I68" s="38"/>
      <c r="J68" s="39"/>
      <c r="K68" s="39"/>
      <c r="L68" s="54"/>
    </row>
    <row r="71" customFormat="false" ht="15" hidden="false" customHeight="false" outlineLevel="0" collapsed="false">
      <c r="B71" s="33" t="s">
        <v>92</v>
      </c>
      <c r="C71" s="33"/>
      <c r="D71" s="33"/>
      <c r="E71" s="33"/>
      <c r="F71" s="33"/>
      <c r="G71" s="33"/>
      <c r="H71" s="33"/>
      <c r="I71" s="33"/>
      <c r="J71" s="33"/>
      <c r="K71" s="33"/>
      <c r="L71" s="33"/>
    </row>
    <row r="72" customFormat="false" ht="15" hidden="false" customHeight="true" outlineLevel="0" collapsed="false">
      <c r="B72" s="34" t="s">
        <v>93</v>
      </c>
      <c r="C72" s="34"/>
      <c r="D72" s="34"/>
      <c r="E72" s="34"/>
      <c r="F72" s="34"/>
      <c r="G72" s="34"/>
      <c r="H72" s="34"/>
      <c r="I72" s="34"/>
      <c r="J72" s="34"/>
      <c r="K72" s="34"/>
      <c r="L72" s="34"/>
    </row>
    <row r="73" customFormat="false" ht="15" hidden="false" customHeight="false" outlineLevel="0" collapsed="false"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</row>
    <row r="74" customFormat="false" ht="15" hidden="false" customHeight="false" outlineLevel="0" collapsed="false">
      <c r="B74" s="35" t="s">
        <v>94</v>
      </c>
      <c r="C74" s="35" t="s">
        <v>45</v>
      </c>
      <c r="D74" s="35" t="s">
        <v>95</v>
      </c>
      <c r="E74" s="35" t="s">
        <v>96</v>
      </c>
      <c r="F74" s="35" t="s">
        <v>97</v>
      </c>
      <c r="J74" s="55" t="s">
        <v>98</v>
      </c>
    </row>
    <row r="75" customFormat="false" ht="15" hidden="false" customHeight="false" outlineLevel="0" collapsed="false">
      <c r="B75" s="56" t="n">
        <v>46484</v>
      </c>
      <c r="C75" s="38" t="s">
        <v>8</v>
      </c>
      <c r="D75" s="38" t="s">
        <v>73</v>
      </c>
      <c r="E75" s="57" t="n">
        <v>1</v>
      </c>
      <c r="F75" s="58" t="s">
        <v>99</v>
      </c>
      <c r="J75" s="59" t="str">
        <f aca="false">IF(OR($B75="",$C75=""),"",$B75&amp;"|"&amp;$C75)</f>
        <v>46484|NOSRUN</v>
      </c>
    </row>
    <row r="76" customFormat="false" ht="15" hidden="false" customHeight="false" outlineLevel="0" collapsed="false">
      <c r="B76" s="56" t="n">
        <v>46487</v>
      </c>
      <c r="C76" s="38" t="s">
        <v>8</v>
      </c>
      <c r="D76" s="38" t="s">
        <v>73</v>
      </c>
      <c r="E76" s="57" t="n">
        <v>1</v>
      </c>
      <c r="F76" s="58" t="s">
        <v>100</v>
      </c>
      <c r="J76" s="59" t="str">
        <f aca="false">IF(OR($B76="",$C76=""),"",$B76&amp;"|"&amp;$C76)</f>
        <v>46487|NOSRUN</v>
      </c>
    </row>
    <row r="77" customFormat="false" ht="15" hidden="false" customHeight="false" outlineLevel="0" collapsed="false">
      <c r="B77" s="56" t="n">
        <v>46497</v>
      </c>
      <c r="C77" s="38" t="s">
        <v>66</v>
      </c>
      <c r="D77" s="38" t="s">
        <v>69</v>
      </c>
      <c r="E77" s="57" t="n">
        <v>2</v>
      </c>
      <c r="F77" s="58" t="s">
        <v>101</v>
      </c>
      <c r="J77" s="59" t="str">
        <f aca="false">IF(OR($B77="",$C77=""),"",$B77&amp;"|"&amp;$C77)</f>
        <v>46497|CDGRUN</v>
      </c>
    </row>
    <row r="78" customFormat="false" ht="15" hidden="false" customHeight="false" outlineLevel="0" collapsed="false">
      <c r="B78" s="56"/>
      <c r="C78" s="38"/>
      <c r="D78" s="38"/>
      <c r="E78" s="57"/>
      <c r="F78" s="58"/>
      <c r="J78" s="59" t="str">
        <f aca="false">IF(OR($B78="",$C78=""),"",$B78&amp;"|"&amp;$C78)</f>
        <v/>
      </c>
    </row>
    <row r="79" customFormat="false" ht="15" hidden="false" customHeight="false" outlineLevel="0" collapsed="false">
      <c r="B79" s="56"/>
      <c r="C79" s="38"/>
      <c r="D79" s="38"/>
      <c r="E79" s="57"/>
      <c r="F79" s="58"/>
      <c r="J79" s="59" t="str">
        <f aca="false">IF(OR($B79="",$C79=""),"",$B79&amp;"|"&amp;$C79)</f>
        <v/>
      </c>
    </row>
    <row r="80" customFormat="false" ht="15" hidden="false" customHeight="false" outlineLevel="0" collapsed="false">
      <c r="B80" s="56"/>
      <c r="C80" s="38"/>
      <c r="D80" s="38"/>
      <c r="E80" s="57"/>
      <c r="F80" s="58"/>
      <c r="J80" s="59" t="str">
        <f aca="false">IF(OR($B80="",$C80=""),"",$B80&amp;"|"&amp;$C80)</f>
        <v/>
      </c>
    </row>
    <row r="81" customFormat="false" ht="15" hidden="false" customHeight="false" outlineLevel="0" collapsed="false">
      <c r="B81" s="56"/>
      <c r="C81" s="38"/>
      <c r="D81" s="38"/>
      <c r="E81" s="57"/>
      <c r="F81" s="58"/>
      <c r="J81" s="59" t="str">
        <f aca="false">IF(OR($B81="",$C81=""),"",$B81&amp;"|"&amp;$C81)</f>
        <v/>
      </c>
    </row>
    <row r="82" customFormat="false" ht="15" hidden="false" customHeight="false" outlineLevel="0" collapsed="false">
      <c r="B82" s="56"/>
      <c r="C82" s="38"/>
      <c r="D82" s="38"/>
      <c r="E82" s="57"/>
      <c r="F82" s="58"/>
      <c r="J82" s="59" t="str">
        <f aca="false">IF(OR($B82="",$C82=""),"",$B82&amp;"|"&amp;$C82)</f>
        <v/>
      </c>
    </row>
    <row r="83" customFormat="false" ht="15" hidden="false" customHeight="false" outlineLevel="0" collapsed="false">
      <c r="B83" s="56"/>
      <c r="C83" s="38"/>
      <c r="D83" s="38"/>
      <c r="E83" s="57"/>
      <c r="F83" s="58"/>
      <c r="J83" s="59" t="str">
        <f aca="false">IF(OR($B83="",$C83=""),"",$B83&amp;"|"&amp;$C83)</f>
        <v/>
      </c>
    </row>
    <row r="84" customFormat="false" ht="15" hidden="false" customHeight="false" outlineLevel="0" collapsed="false">
      <c r="B84" s="56"/>
      <c r="C84" s="38"/>
      <c r="D84" s="38"/>
      <c r="E84" s="57"/>
      <c r="F84" s="58"/>
      <c r="J84" s="59" t="str">
        <f aca="false">IF(OR($B84="",$C84=""),"",$B84&amp;"|"&amp;$C84)</f>
        <v/>
      </c>
    </row>
    <row r="85" customFormat="false" ht="15" hidden="false" customHeight="false" outlineLevel="0" collapsed="false">
      <c r="B85" s="56"/>
      <c r="C85" s="38"/>
      <c r="D85" s="38"/>
      <c r="E85" s="57"/>
      <c r="F85" s="58"/>
      <c r="J85" s="59" t="str">
        <f aca="false">IF(OR($B85="",$C85=""),"",$B85&amp;"|"&amp;$C85)</f>
        <v/>
      </c>
    </row>
    <row r="86" customFormat="false" ht="15" hidden="false" customHeight="false" outlineLevel="0" collapsed="false">
      <c r="B86" s="56"/>
      <c r="C86" s="38"/>
      <c r="D86" s="38"/>
      <c r="E86" s="57"/>
      <c r="F86" s="58"/>
      <c r="J86" s="59" t="str">
        <f aca="false">IF(OR($B86="",$C86=""),"",$B86&amp;"|"&amp;$C86)</f>
        <v/>
      </c>
    </row>
    <row r="87" customFormat="false" ht="15" hidden="false" customHeight="false" outlineLevel="0" collapsed="false">
      <c r="B87" s="56"/>
      <c r="C87" s="38"/>
      <c r="D87" s="38"/>
      <c r="E87" s="57"/>
      <c r="F87" s="58"/>
      <c r="J87" s="59" t="str">
        <f aca="false">IF(OR($B87="",$C87=""),"",$B87&amp;"|"&amp;$C87)</f>
        <v/>
      </c>
    </row>
    <row r="88" customFormat="false" ht="15" hidden="false" customHeight="false" outlineLevel="0" collapsed="false">
      <c r="B88" s="56"/>
      <c r="C88" s="38"/>
      <c r="D88" s="38"/>
      <c r="E88" s="57"/>
      <c r="F88" s="58"/>
      <c r="J88" s="59" t="str">
        <f aca="false">IF(OR($B88="",$C88=""),"",$B88&amp;"|"&amp;$C88)</f>
        <v/>
      </c>
    </row>
    <row r="89" customFormat="false" ht="15" hidden="false" customHeight="false" outlineLevel="0" collapsed="false">
      <c r="B89" s="56"/>
      <c r="C89" s="38"/>
      <c r="D89" s="38"/>
      <c r="E89" s="57"/>
      <c r="F89" s="58"/>
      <c r="J89" s="59" t="str">
        <f aca="false">IF(OR($B89="",$C89=""),"",$B89&amp;"|"&amp;$C89)</f>
        <v/>
      </c>
    </row>
    <row r="90" customFormat="false" ht="15" hidden="false" customHeight="false" outlineLevel="0" collapsed="false">
      <c r="B90" s="56"/>
      <c r="C90" s="38"/>
      <c r="D90" s="38"/>
      <c r="E90" s="57"/>
      <c r="F90" s="58"/>
      <c r="J90" s="59" t="str">
        <f aca="false">IF(OR($B90="",$C90=""),"",$B90&amp;"|"&amp;$C90)</f>
        <v/>
      </c>
    </row>
    <row r="91" customFormat="false" ht="15" hidden="false" customHeight="false" outlineLevel="0" collapsed="false">
      <c r="B91" s="56"/>
      <c r="C91" s="38"/>
      <c r="D91" s="38"/>
      <c r="E91" s="57"/>
      <c r="F91" s="58"/>
      <c r="J91" s="59" t="str">
        <f aca="false">IF(OR($B91="",$C91=""),"",$B91&amp;"|"&amp;$C91)</f>
        <v/>
      </c>
    </row>
    <row r="92" customFormat="false" ht="15" hidden="false" customHeight="false" outlineLevel="0" collapsed="false">
      <c r="B92" s="56"/>
      <c r="C92" s="38"/>
      <c r="D92" s="38"/>
      <c r="E92" s="57"/>
      <c r="F92" s="58"/>
      <c r="J92" s="59" t="str">
        <f aca="false">IF(OR($B92="",$C92=""),"",$B92&amp;"|"&amp;$C92)</f>
        <v/>
      </c>
    </row>
    <row r="93" customFormat="false" ht="15" hidden="false" customHeight="false" outlineLevel="0" collapsed="false">
      <c r="B93" s="56"/>
      <c r="C93" s="38"/>
      <c r="D93" s="38"/>
      <c r="E93" s="57"/>
      <c r="F93" s="58"/>
      <c r="J93" s="59" t="str">
        <f aca="false">IF(OR($B93="",$C93=""),"",$B93&amp;"|"&amp;$C93)</f>
        <v/>
      </c>
    </row>
    <row r="94" customFormat="false" ht="15" hidden="false" customHeight="false" outlineLevel="0" collapsed="false">
      <c r="B94" s="56"/>
      <c r="C94" s="38"/>
      <c r="D94" s="38"/>
      <c r="E94" s="57"/>
      <c r="F94" s="58"/>
      <c r="J94" s="59" t="str">
        <f aca="false">IF(OR($B94="",$C94=""),"",$B94&amp;"|"&amp;$C94)</f>
        <v/>
      </c>
    </row>
    <row r="95" customFormat="false" ht="15" hidden="false" customHeight="false" outlineLevel="0" collapsed="false">
      <c r="B95" s="56"/>
      <c r="C95" s="38"/>
      <c r="D95" s="38"/>
      <c r="E95" s="57"/>
      <c r="F95" s="58"/>
      <c r="J95" s="59" t="str">
        <f aca="false">IF(OR($B95="",$C95=""),"",$B95&amp;"|"&amp;$C95)</f>
        <v/>
      </c>
    </row>
    <row r="96" customFormat="false" ht="15" hidden="false" customHeight="false" outlineLevel="0" collapsed="false">
      <c r="B96" s="56"/>
      <c r="C96" s="38"/>
      <c r="D96" s="38"/>
      <c r="E96" s="57"/>
      <c r="F96" s="58"/>
      <c r="J96" s="59" t="str">
        <f aca="false">IF(OR($B96="",$C96=""),"",$B96&amp;"|"&amp;$C96)</f>
        <v/>
      </c>
    </row>
    <row r="97" customFormat="false" ht="15" hidden="false" customHeight="false" outlineLevel="0" collapsed="false">
      <c r="B97" s="56"/>
      <c r="C97" s="38"/>
      <c r="D97" s="38"/>
      <c r="E97" s="57"/>
      <c r="F97" s="58"/>
      <c r="J97" s="59" t="str">
        <f aca="false">IF(OR($B97="",$C97=""),"",$B97&amp;"|"&amp;$C97)</f>
        <v/>
      </c>
    </row>
    <row r="98" customFormat="false" ht="15" hidden="false" customHeight="false" outlineLevel="0" collapsed="false">
      <c r="B98" s="56"/>
      <c r="C98" s="38"/>
      <c r="D98" s="38"/>
      <c r="E98" s="57"/>
      <c r="F98" s="58"/>
      <c r="J98" s="59" t="str">
        <f aca="false">IF(OR($B98="",$C98=""),"",$B98&amp;"|"&amp;$C98)</f>
        <v/>
      </c>
    </row>
    <row r="99" customFormat="false" ht="15" hidden="false" customHeight="false" outlineLevel="0" collapsed="false">
      <c r="B99" s="56"/>
      <c r="C99" s="38"/>
      <c r="D99" s="38"/>
      <c r="E99" s="57"/>
      <c r="F99" s="58"/>
      <c r="J99" s="59" t="str">
        <f aca="false">IF(OR($B99="",$C99=""),"",$B99&amp;"|"&amp;$C99)</f>
        <v/>
      </c>
    </row>
    <row r="100" customFormat="false" ht="15" hidden="false" customHeight="false" outlineLevel="0" collapsed="false">
      <c r="B100" s="56"/>
      <c r="C100" s="38"/>
      <c r="D100" s="38"/>
      <c r="E100" s="57"/>
      <c r="F100" s="58"/>
      <c r="J100" s="59" t="str">
        <f aca="false">IF(OR($B100="",$C100=""),"",$B100&amp;"|"&amp;$C100)</f>
        <v/>
      </c>
    </row>
    <row r="101" customFormat="false" ht="15" hidden="false" customHeight="false" outlineLevel="0" collapsed="false">
      <c r="B101" s="56"/>
      <c r="C101" s="38"/>
      <c r="D101" s="38"/>
      <c r="E101" s="57"/>
      <c r="F101" s="58"/>
      <c r="J101" s="59" t="str">
        <f aca="false">IF(OR($B101="",$C101=""),"",$B101&amp;"|"&amp;$C101)</f>
        <v/>
      </c>
    </row>
    <row r="102" customFormat="false" ht="15" hidden="false" customHeight="false" outlineLevel="0" collapsed="false">
      <c r="B102" s="56"/>
      <c r="C102" s="38"/>
      <c r="D102" s="38"/>
      <c r="E102" s="57"/>
      <c r="F102" s="58"/>
      <c r="J102" s="59" t="str">
        <f aca="false">IF(OR($B102="",$C102=""),"",$B102&amp;"|"&amp;$C102)</f>
        <v/>
      </c>
    </row>
    <row r="103" customFormat="false" ht="15" hidden="false" customHeight="false" outlineLevel="0" collapsed="false">
      <c r="B103" s="56"/>
      <c r="C103" s="38"/>
      <c r="D103" s="38"/>
      <c r="E103" s="57"/>
      <c r="F103" s="58"/>
      <c r="J103" s="59" t="str">
        <f aca="false">IF(OR($B103="",$C103=""),"",$B103&amp;"|"&amp;$C103)</f>
        <v/>
      </c>
    </row>
    <row r="104" customFormat="false" ht="15" hidden="false" customHeight="false" outlineLevel="0" collapsed="false">
      <c r="B104" s="56"/>
      <c r="C104" s="38"/>
      <c r="D104" s="38"/>
      <c r="E104" s="57"/>
      <c r="F104" s="58"/>
      <c r="J104" s="59" t="str">
        <f aca="false">IF(OR($B104="",$C104=""),"",$B104&amp;"|"&amp;$C104)</f>
        <v/>
      </c>
    </row>
    <row r="105" customFormat="false" ht="15" hidden="false" customHeight="false" outlineLevel="0" collapsed="false">
      <c r="B105" s="56"/>
      <c r="C105" s="38"/>
      <c r="D105" s="38"/>
      <c r="E105" s="57"/>
      <c r="F105" s="58"/>
      <c r="J105" s="59" t="str">
        <f aca="false">IF(OR($B105="",$C105=""),"",$B105&amp;"|"&amp;$C105)</f>
        <v/>
      </c>
    </row>
    <row r="106" customFormat="false" ht="15" hidden="false" customHeight="false" outlineLevel="0" collapsed="false">
      <c r="B106" s="56"/>
      <c r="C106" s="38"/>
      <c r="D106" s="38"/>
      <c r="E106" s="57"/>
      <c r="F106" s="58"/>
      <c r="J106" s="59" t="str">
        <f aca="false">IF(OR($B106="",$C106=""),"",$B106&amp;"|"&amp;$C106)</f>
        <v/>
      </c>
    </row>
    <row r="107" customFormat="false" ht="15" hidden="false" customHeight="false" outlineLevel="0" collapsed="false">
      <c r="B107" s="56"/>
      <c r="C107" s="38"/>
      <c r="D107" s="38"/>
      <c r="E107" s="57"/>
      <c r="F107" s="58"/>
      <c r="J107" s="59" t="str">
        <f aca="false">IF(OR($B107="",$C107=""),"",$B107&amp;"|"&amp;$C107)</f>
        <v/>
      </c>
    </row>
    <row r="108" customFormat="false" ht="15" hidden="false" customHeight="false" outlineLevel="0" collapsed="false">
      <c r="B108" s="56"/>
      <c r="C108" s="38"/>
      <c r="D108" s="38"/>
      <c r="E108" s="57"/>
      <c r="F108" s="58"/>
      <c r="J108" s="59" t="str">
        <f aca="false">IF(OR($B108="",$C108=""),"",$B108&amp;"|"&amp;$C108)</f>
        <v/>
      </c>
    </row>
    <row r="109" customFormat="false" ht="15" hidden="false" customHeight="false" outlineLevel="0" collapsed="false">
      <c r="B109" s="56"/>
      <c r="C109" s="38"/>
      <c r="D109" s="38"/>
      <c r="E109" s="57"/>
      <c r="F109" s="58"/>
      <c r="J109" s="59" t="str">
        <f aca="false">IF(OR($B109="",$C109=""),"",$B109&amp;"|"&amp;$C109)</f>
        <v/>
      </c>
    </row>
    <row r="110" customFormat="false" ht="15" hidden="false" customHeight="false" outlineLevel="0" collapsed="false">
      <c r="B110" s="56"/>
      <c r="C110" s="38"/>
      <c r="D110" s="38"/>
      <c r="E110" s="57"/>
      <c r="F110" s="58"/>
      <c r="J110" s="59" t="str">
        <f aca="false">IF(OR($B110="",$C110=""),"",$B110&amp;"|"&amp;$C110)</f>
        <v/>
      </c>
    </row>
    <row r="111" customFormat="false" ht="15" hidden="false" customHeight="false" outlineLevel="0" collapsed="false">
      <c r="B111" s="56"/>
      <c r="C111" s="38"/>
      <c r="D111" s="38"/>
      <c r="E111" s="57"/>
      <c r="F111" s="58"/>
      <c r="J111" s="59" t="str">
        <f aca="false">IF(OR($B111="",$C111=""),"",$B111&amp;"|"&amp;$C111)</f>
        <v/>
      </c>
    </row>
    <row r="112" customFormat="false" ht="15" hidden="false" customHeight="false" outlineLevel="0" collapsed="false">
      <c r="B112" s="56"/>
      <c r="C112" s="38"/>
      <c r="D112" s="38"/>
      <c r="E112" s="57"/>
      <c r="F112" s="58"/>
      <c r="J112" s="59" t="str">
        <f aca="false">IF(OR($B112="",$C112=""),"",$B112&amp;"|"&amp;$C112)</f>
        <v/>
      </c>
    </row>
    <row r="113" customFormat="false" ht="15" hidden="false" customHeight="false" outlineLevel="0" collapsed="false">
      <c r="B113" s="56"/>
      <c r="C113" s="38"/>
      <c r="D113" s="38"/>
      <c r="E113" s="57"/>
      <c r="F113" s="58"/>
      <c r="J113" s="59" t="str">
        <f aca="false">IF(OR($B113="",$C113=""),"",$B113&amp;"|"&amp;$C113)</f>
        <v/>
      </c>
    </row>
    <row r="114" customFormat="false" ht="15" hidden="false" customHeight="false" outlineLevel="0" collapsed="false">
      <c r="B114" s="56"/>
      <c r="C114" s="38"/>
      <c r="D114" s="38"/>
      <c r="E114" s="57"/>
      <c r="F114" s="58"/>
      <c r="J114" s="59" t="str">
        <f aca="false">IF(OR($B114="",$C114=""),"",$B114&amp;"|"&amp;$C114)</f>
        <v/>
      </c>
    </row>
  </sheetData>
  <mergeCells count="50">
    <mergeCell ref="B1:I1"/>
    <mergeCell ref="B2:I2"/>
    <mergeCell ref="N3:O3"/>
    <mergeCell ref="C4:D4"/>
    <mergeCell ref="C5:D5"/>
    <mergeCell ref="B6:I6"/>
    <mergeCell ref="N10:U10"/>
    <mergeCell ref="D21:I21"/>
    <mergeCell ref="B23:L23"/>
    <mergeCell ref="B38:L39"/>
    <mergeCell ref="B41:L41"/>
    <mergeCell ref="B42:L43"/>
    <mergeCell ref="J45:J46"/>
    <mergeCell ref="K45:K46"/>
    <mergeCell ref="L45:L46"/>
    <mergeCell ref="J47:J48"/>
    <mergeCell ref="K47:K48"/>
    <mergeCell ref="L47:L48"/>
    <mergeCell ref="J49:J50"/>
    <mergeCell ref="K49:K50"/>
    <mergeCell ref="L49:L50"/>
    <mergeCell ref="J51:J52"/>
    <mergeCell ref="K51:K52"/>
    <mergeCell ref="L51:L52"/>
    <mergeCell ref="J53:J54"/>
    <mergeCell ref="K53:K54"/>
    <mergeCell ref="L53:L54"/>
    <mergeCell ref="J55:J56"/>
    <mergeCell ref="K55:K56"/>
    <mergeCell ref="L55:L56"/>
    <mergeCell ref="J57:J58"/>
    <mergeCell ref="K57:K58"/>
    <mergeCell ref="L57:L58"/>
    <mergeCell ref="J59:J60"/>
    <mergeCell ref="K59:K60"/>
    <mergeCell ref="L59:L60"/>
    <mergeCell ref="J61:J62"/>
    <mergeCell ref="K61:K62"/>
    <mergeCell ref="L61:L62"/>
    <mergeCell ref="J63:J64"/>
    <mergeCell ref="K63:K64"/>
    <mergeCell ref="L63:L64"/>
    <mergeCell ref="J65:J66"/>
    <mergeCell ref="K65:K66"/>
    <mergeCell ref="L65:L66"/>
    <mergeCell ref="J67:J68"/>
    <mergeCell ref="K67:K68"/>
    <mergeCell ref="L67:L68"/>
    <mergeCell ref="B71:L71"/>
    <mergeCell ref="B72:L73"/>
  </mergeCells>
  <conditionalFormatting sqref="C8:I8 C10:I10 C12:I12 C14:I14 C16:I16 C18:I18">
    <cfRule type="expression" priority="2" aboveAverage="0" equalAverage="0" bottom="0" percent="0" rank="0" text="" dxfId="0">
      <formula>ISNUMBER(SEARCH("(+",C8))</formula>
    </cfRule>
    <cfRule type="expression" priority="3" aboveAverage="0" equalAverage="0" bottom="0" percent="0" rank="0" text="" dxfId="1">
      <formula>AND($C$5="CDGRUN",C8&lt;&gt;"")</formula>
    </cfRule>
    <cfRule type="expression" priority="4" aboveAverage="0" equalAverage="0" bottom="0" percent="0" rank="0" text="" dxfId="2">
      <formula>AND($C$5="CDGDZA",C8&lt;&gt;"")</formula>
    </cfRule>
    <cfRule type="expression" priority="5" aboveAverage="0" equalAverage="0" bottom="0" percent="0" rank="0" text="" dxfId="3">
      <formula>AND($C$5="BKKRUN",C8&lt;&gt;"")</formula>
    </cfRule>
    <cfRule type="expression" priority="6" aboveAverage="0" equalAverage="0" bottom="0" percent="0" rank="0" text="" dxfId="4">
      <formula>AND($C$5="DZARUN",C8&lt;&gt;"")</formula>
    </cfRule>
    <cfRule type="expression" priority="7" aboveAverage="0" equalAverage="0" bottom="0" percent="0" rank="0" text="" dxfId="5">
      <formula>AND($C$5="MRURUN",C8&lt;&gt;"")</formula>
    </cfRule>
    <cfRule type="expression" priority="8" aboveAverage="0" equalAverage="0" bottom="0" percent="0" rank="0" text="" dxfId="6">
      <formula>AND($C$5="NOSRUN",C8&lt;&gt;"")</formula>
    </cfRule>
    <cfRule type="expression" priority="9" aboveAverage="0" equalAverage="0" bottom="0" percent="0" rank="0" text="" dxfId="7">
      <formula>AND($C$5="RUNTNR",C8&lt;&gt;"")</formula>
    </cfRule>
    <cfRule type="expression" priority="10" aboveAverage="0" equalAverage="0" bottom="0" percent="0" rank="0" text="" dxfId="8">
      <formula>AND($C$5="JNBRUN",C8&lt;&gt;"")</formula>
    </cfRule>
    <cfRule type="expression" priority="11" aboveAverage="0" equalAverage="0" bottom="0" percent="0" rank="0" text="" dxfId="9">
      <formula>AND($C$5="CPTRUN",C8&lt;&gt;"")</formula>
    </cfRule>
    <cfRule type="expression" priority="12" aboveAverage="0" equalAverage="0" bottom="0" percent="0" rank="0" text="" dxfId="10">
      <formula>AND($C$5="DIERUN",C8&lt;&gt;"")</formula>
    </cfRule>
    <cfRule type="expression" priority="13" aboveAverage="0" equalAverage="0" bottom="0" percent="0" rank="0" text="" dxfId="11">
      <formula>AND($C$5="RRGRUN",C8&lt;&gt;"")</formula>
    </cfRule>
    <cfRule type="expression" priority="14" aboveAverage="0" equalAverage="0" bottom="0" percent="0" rank="0" text="" dxfId="12">
      <formula>AND($C$5="TMMRUN",C8&lt;&gt;"")</formula>
    </cfRule>
  </conditionalFormatting>
  <conditionalFormatting sqref="B25:B36">
    <cfRule type="expression" priority="15" aboveAverage="0" equalAverage="0" bottom="0" percent="0" rank="0" text="" dxfId="1">
      <formula>$B25="CDGRUN"</formula>
    </cfRule>
    <cfRule type="expression" priority="16" aboveAverage="0" equalAverage="0" bottom="0" percent="0" rank="0" text="" dxfId="2">
      <formula>$B25="CDGDZA"</formula>
    </cfRule>
    <cfRule type="expression" priority="17" aboveAverage="0" equalAverage="0" bottom="0" percent="0" rank="0" text="" dxfId="3">
      <formula>$B25="BKKRUN"</formula>
    </cfRule>
    <cfRule type="expression" priority="18" aboveAverage="0" equalAverage="0" bottom="0" percent="0" rank="0" text="" dxfId="4">
      <formula>$B25="DZARUN"</formula>
    </cfRule>
    <cfRule type="expression" priority="19" aboveAverage="0" equalAverage="0" bottom="0" percent="0" rank="0" text="" dxfId="5">
      <formula>$B25="MRURUN"</formula>
    </cfRule>
    <cfRule type="expression" priority="20" aboveAverage="0" equalAverage="0" bottom="0" percent="0" rank="0" text="" dxfId="6">
      <formula>$B25="NOSRUN"</formula>
    </cfRule>
    <cfRule type="expression" priority="21" aboveAverage="0" equalAverage="0" bottom="0" percent="0" rank="0" text="" dxfId="7">
      <formula>$B25="RUNTNR"</formula>
    </cfRule>
    <cfRule type="expression" priority="22" aboveAverage="0" equalAverage="0" bottom="0" percent="0" rank="0" text="" dxfId="8">
      <formula>$B25="JNBRUN"</formula>
    </cfRule>
    <cfRule type="expression" priority="23" aboveAverage="0" equalAverage="0" bottom="0" percent="0" rank="0" text="" dxfId="9">
      <formula>$B25="CPTRUN"</formula>
    </cfRule>
    <cfRule type="expression" priority="24" aboveAverage="0" equalAverage="0" bottom="0" percent="0" rank="0" text="" dxfId="10">
      <formula>$B25="DIERUN"</formula>
    </cfRule>
    <cfRule type="expression" priority="25" aboveAverage="0" equalAverage="0" bottom="0" percent="0" rank="0" text="" dxfId="11">
      <formula>$B25="RRGRUN"</formula>
    </cfRule>
    <cfRule type="expression" priority="26" aboveAverage="0" equalAverage="0" bottom="0" percent="0" rank="0" text="" dxfId="12">
      <formula>$B25="TMMRUN"</formula>
    </cfRule>
  </conditionalFormatting>
  <conditionalFormatting sqref="B45:B68">
    <cfRule type="expression" priority="27" aboveAverage="0" equalAverage="0" bottom="0" percent="0" rank="0" text="" dxfId="1">
      <formula>OR($B45="CDGRUN",$B44="CDGRUN")</formula>
    </cfRule>
    <cfRule type="expression" priority="28" aboveAverage="0" equalAverage="0" bottom="0" percent="0" rank="0" text="" dxfId="2">
      <formula>OR($B45="CDGDZA",$B44="CDGDZA")</formula>
    </cfRule>
    <cfRule type="expression" priority="29" aboveAverage="0" equalAverage="0" bottom="0" percent="0" rank="0" text="" dxfId="3">
      <formula>OR($B45="BKKRUN",$B44="BKKRUN")</formula>
    </cfRule>
    <cfRule type="expression" priority="30" aboveAverage="0" equalAverage="0" bottom="0" percent="0" rank="0" text="" dxfId="4">
      <formula>OR($B45="DZARUN",$B44="DZARUN")</formula>
    </cfRule>
    <cfRule type="expression" priority="31" aboveAverage="0" equalAverage="0" bottom="0" percent="0" rank="0" text="" dxfId="5">
      <formula>OR($B45="MRURUN",$B44="MRURUN")</formula>
    </cfRule>
    <cfRule type="expression" priority="32" aboveAverage="0" equalAverage="0" bottom="0" percent="0" rank="0" text="" dxfId="6">
      <formula>OR($B45="NOSRUN",$B44="NOSRUN")</formula>
    </cfRule>
    <cfRule type="expression" priority="33" aboveAverage="0" equalAverage="0" bottom="0" percent="0" rank="0" text="" dxfId="7">
      <formula>OR($B45="RUNTNR",$B44="RUNTNR")</formula>
    </cfRule>
    <cfRule type="expression" priority="34" aboveAverage="0" equalAverage="0" bottom="0" percent="0" rank="0" text="" dxfId="8">
      <formula>OR($B45="JNBRUN",$B44="JNBRUN")</formula>
    </cfRule>
    <cfRule type="expression" priority="35" aboveAverage="0" equalAverage="0" bottom="0" percent="0" rank="0" text="" dxfId="9">
      <formula>OR($B45="CPTRUN",$B44="CPTRUN")</formula>
    </cfRule>
    <cfRule type="expression" priority="36" aboveAverage="0" equalAverage="0" bottom="0" percent="0" rank="0" text="" dxfId="10">
      <formula>OR($B45="DIERUN",$B44="DIERUN")</formula>
    </cfRule>
    <cfRule type="expression" priority="37" aboveAverage="0" equalAverage="0" bottom="0" percent="0" rank="0" text="" dxfId="11">
      <formula>OR($B45="RRGRUN",$B44="RRGRUN")</formula>
    </cfRule>
    <cfRule type="expression" priority="38" aboveAverage="0" equalAverage="0" bottom="0" percent="0" rank="0" text="" dxfId="12">
      <formula>OR($B45="TMMRUN",$B44="TMMRUN")</formula>
    </cfRule>
  </conditionalFormatting>
  <dataValidations count="7">
    <dataValidation allowBlank="false" errorStyle="stop" operator="between" showDropDown="false" showErrorMessage="false" showInputMessage="false" sqref="C4" type="list">
      <formula1>$N$45:$N$56</formula1>
      <formula2>0</formula2>
    </dataValidation>
    <dataValidation allowBlank="false" errorStyle="stop" operator="between" showDropDown="false" showErrorMessage="false" showInputMessage="false" sqref="C5" type="list">
      <formula1>$B$45:$B$68</formula1>
      <formula2>0</formula2>
    </dataValidation>
    <dataValidation allowBlank="true" error="Choisir un type avion dans la liste, ou laisser vide s'il n'y a pas de vol ce jour-la." errorStyle="stop" errorTitle="Type avion invalide" operator="between" showDropDown="false" showErrorMessage="false" showInputMessage="false" sqref="C45:I68" type="list">
      <formula1>$P$45:$P$47</formula1>
      <formula2>0</formula2>
    </dataValidation>
    <dataValidation allowBlank="true" errorStyle="stop" operator="between" showDropDown="false" showErrorMessage="false" showInputMessage="false" sqref="C75:C114" type="list">
      <formula1>$B$45:$B$68</formula1>
      <formula2>0</formula2>
    </dataValidation>
    <dataValidation allowBlank="true" errorStyle="stop" operator="between" showDropDown="false" showErrorMessage="false" showInputMessage="false" sqref="D75:D114" type="list">
      <formula1>$P$45:$P$47</formula1>
      <formula2>0</formula2>
    </dataValidation>
    <dataValidation allowBlank="true" error="Nombre de rotations : entier entre 1 et 20." errorStyle="stop" errorTitle="Valeur invalide" operator="between" showDropDown="false" showErrorMessage="false" showInputMessage="false" sqref="E75:E114" type="whole">
      <formula1>1</formula1>
      <formula2>20</formula2>
    </dataValidation>
    <dataValidation allowBlank="true" error="La date est hors de l'annee avril 2027 - mars 2028 : le vol ne sera visible dans aucun mois." errorStyle="warning" errorTitle="Date hors annee d'exploitation" operator="between" showDropDown="false" showErrorMessage="false" showInputMessage="false" sqref="B75:B114" type="date">
      <formula1>DATE(2027,4,1)</formula1>
      <formula2>DATE(2028,3,31)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2026-09-08T12:28:10Z</dcterms:created>
  <dc:creator>openpyxl</dc:creator>
  <dc:description/>
  <dc:language>en-US</dc:language>
  <cp:lastModifiedBy/>
  <dcterms:modified xsi:type="dcterms:W3CDTF">2026-09-08T12:28:10Z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