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Programme de vols" sheetId="1" state="visible" r:id="rId3"/>
  </sheets>
  <definedNames>
    <definedName function="false" hidden="false" localSheetId="0" name="_xlnm.Print_Area" vbProcedure="false">'Programme de vols'!$B$1:$L$38</definedName>
  </definedName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C4" authorId="0">
      <text>
        <r>
          <rPr>
            <sz val="10"/>
            <rFont val="Arial"/>
            <family val="2"/>
          </rPr>
          <t xml:space="preserve">Liste deroulante : avril 2027 -&gt; mars 2028.
Pilote la grille ET le recapitulatif.</t>
        </r>
      </text>
    </comment>
    <comment ref="C5" authorId="0">
      <text>
        <r>
          <rPr>
            <sz val="10"/>
            <rFont val="Arial"/>
            <family val="2"/>
          </rPr>
          <t xml:space="preserve">Liste deroulante : 12 routes.
Pilote uniquement la grille.</t>
        </r>
      </text>
    </comment>
  </commentList>
</comments>
</file>

<file path=xl/sharedStrings.xml><?xml version="1.0" encoding="utf-8"?>
<sst xmlns="http://schemas.openxmlformats.org/spreadsheetml/2006/main" count="97" uniqueCount="80">
  <si>
    <t xml:space="preserve">PROGRAMME DE VOLS MENSUEL - ANNEE D'EXPLOITATION AVRIL 2027 / MARS 2028</t>
  </si>
  <si>
    <t xml:space="preserve">Feuille unique : les deux filtres ci-dessous (Mois et Route) pilotent la grille. Le recapitulatif ne suit que le filtre Mois. Toutes les valeurs sont calculees par formule a partir des semaines types saisies dans la zone de parametres (bas de feuille).</t>
  </si>
  <si>
    <t xml:space="preserve">REPERES CALCULES</t>
  </si>
  <si>
    <t xml:space="preserve">FILTRE  MOIS</t>
  </si>
  <si>
    <t xml:space="preserve">avril 2027</t>
  </si>
  <si>
    <t xml:space="preserve">&lt;-- listes deroulantes</t>
  </si>
  <si>
    <t xml:space="preserve">1er jour du mois</t>
  </si>
  <si>
    <t xml:space="preserve">FILTRE  ROUTE</t>
  </si>
  <si>
    <t xml:space="preserve">NOSRUN</t>
  </si>
  <si>
    <t xml:space="preserve">Dernier jour du mois</t>
  </si>
  <si>
    <t xml:space="preserve">GRILLE MENSUELLE  -  type avion opere par semaine et par jour (filtres Mois + Route)</t>
  </si>
  <si>
    <t xml:space="preserve">Lundi de la semaine 1</t>
  </si>
  <si>
    <t xml:space="preserve">Semaine</t>
  </si>
  <si>
    <t xml:space="preserve">J1 - Lundi</t>
  </si>
  <si>
    <t xml:space="preserve">J2 - Mardi</t>
  </si>
  <si>
    <t xml:space="preserve">J3 - Mercredi</t>
  </si>
  <si>
    <t xml:space="preserve">J4 - Jeudi</t>
  </si>
  <si>
    <t xml:space="preserve">J5 - Vendredi</t>
  </si>
  <si>
    <t xml:space="preserve">J6 - Samedi</t>
  </si>
  <si>
    <t xml:space="preserve">J7 - Dimanche</t>
  </si>
  <si>
    <t xml:space="preserve">Type avion (route filtree)</t>
  </si>
  <si>
    <t xml:space="preserve">Semaine 1</t>
  </si>
  <si>
    <t xml:space="preserve">Rotations / semaine (route filtree)</t>
  </si>
  <si>
    <t xml:space="preserve">Total rotations du mois (route filtree)</t>
  </si>
  <si>
    <t xml:space="preserve">Semaine 2</t>
  </si>
  <si>
    <t xml:space="preserve">Semaine 3</t>
  </si>
  <si>
    <t xml:space="preserve">Semaine 4</t>
  </si>
  <si>
    <t xml:space="preserve">Semaine 5</t>
  </si>
  <si>
    <t xml:space="preserve">Semaine 6</t>
  </si>
  <si>
    <t xml:space="preserve">Occurrences du jour dans le mois</t>
  </si>
  <si>
    <t xml:space="preserve">Nb de semaines calendaires du mois</t>
  </si>
  <si>
    <t xml:space="preserve">Semaines partielles de debut / fin de mois incluses : seuls les jours reellement compris dans le mois sont dates, donc comptes.</t>
  </si>
  <si>
    <t xml:space="preserve">RECAPITULATIF MENSUEL - TOUTES ROUTES  (depend uniquement du filtre Mois)</t>
  </si>
  <si>
    <t xml:space="preserve">Route</t>
  </si>
  <si>
    <t xml:space="preserve">Type avion</t>
  </si>
  <si>
    <t xml:space="preserve">Semaine type (jours J1-J7)</t>
  </si>
  <si>
    <t xml:space="preserve">Rotations/semaine</t>
  </si>
  <si>
    <t xml:space="preserve">Nb de semaines/occurrences dans le mois</t>
  </si>
  <si>
    <t xml:space="preserve">Total rotations du mois</t>
  </si>
  <si>
    <t xml:space="preserve">TOTAL GENERAL</t>
  </si>
  <si>
    <t xml:space="preserve">Methode de calcul : pour chaque jour d'operation de la semaine type, le nombre d'occurrences de ce jour dans le mois est compte via les dates reelles de la grille (ligne "Occurrences du jour dans le mois", semaines partielles incluses). Total rotations du mois = somme de ces occurrences. La colonne "Nb de semaines/occurrences" indique le nombre de semaines calendaires couvertes par le mois.</t>
  </si>
  <si>
    <t xml:space="preserve">ZONE DE PARAMETRES - SEMAINES TYPES PAR ROUTE (saisie unique, valable pour les 12 mois)</t>
  </si>
  <si>
    <t xml:space="preserve">Cellules en BLEU = saisie utilisateur. Type avion : liste deroulante (77W / 778 / A320). Jours J1-J7 : saisir 1 si la route opere ce jour-la, 0 sinon. Toute modification recalcule immediatement la grille et le recapitulatif, pour les 12 mois. Valeurs livrees = exemples a ajuster (NOSRUN = 3/7 A320 sur J1/J4/J6, conforme a l'exemple fourni).</t>
  </si>
  <si>
    <t xml:space="preserve">J1</t>
  </si>
  <si>
    <t xml:space="preserve">J2</t>
  </si>
  <si>
    <t xml:space="preserve">J3</t>
  </si>
  <si>
    <t xml:space="preserve">J4</t>
  </si>
  <si>
    <t xml:space="preserve">J5</t>
  </si>
  <si>
    <t xml:space="preserve">J6</t>
  </si>
  <si>
    <t xml:space="preserve">J7</t>
  </si>
  <si>
    <t xml:space="preserve">Rot./sem. (auto)</t>
  </si>
  <si>
    <t xml:space="preserve">Couleur</t>
  </si>
  <si>
    <t xml:space="preserve">Mois (liste)</t>
  </si>
  <si>
    <t xml:space="preserve">1er jour</t>
  </si>
  <si>
    <t xml:space="preserve">Types avion</t>
  </si>
  <si>
    <t xml:space="preserve">CDGRUN</t>
  </si>
  <si>
    <t xml:space="preserve">77W</t>
  </si>
  <si>
    <t xml:space="preserve">CDGDZA</t>
  </si>
  <si>
    <t xml:space="preserve">778</t>
  </si>
  <si>
    <t xml:space="preserve">mai 2027</t>
  </si>
  <si>
    <t xml:space="preserve">BKKRUN</t>
  </si>
  <si>
    <t xml:space="preserve">juin 2027</t>
  </si>
  <si>
    <t xml:space="preserve">A320</t>
  </si>
  <si>
    <t xml:space="preserve">DZARUN</t>
  </si>
  <si>
    <t xml:space="preserve">juillet 2027</t>
  </si>
  <si>
    <t xml:space="preserve">MRURUN</t>
  </si>
  <si>
    <t xml:space="preserve">aout 2027</t>
  </si>
  <si>
    <t xml:space="preserve">septembre 2027</t>
  </si>
  <si>
    <t xml:space="preserve">RUNTNR</t>
  </si>
  <si>
    <t xml:space="preserve">octobre 2027</t>
  </si>
  <si>
    <t xml:space="preserve">JNBRUN</t>
  </si>
  <si>
    <t xml:space="preserve">novembre 2027</t>
  </si>
  <si>
    <t xml:space="preserve">CPTRUN</t>
  </si>
  <si>
    <t xml:space="preserve">decembre 2027</t>
  </si>
  <si>
    <t xml:space="preserve">DIERUN</t>
  </si>
  <si>
    <t xml:space="preserve">janvier 2028</t>
  </si>
  <si>
    <t xml:space="preserve">RRGRUN</t>
  </si>
  <si>
    <t xml:space="preserve">fevrier 2028</t>
  </si>
  <si>
    <t xml:space="preserve">TMMRUN</t>
  </si>
  <si>
    <t xml:space="preserve">mars 2028</t>
  </si>
</sst>
</file>

<file path=xl/styles.xml><?xml version="1.0" encoding="utf-8"?>
<styleSheet xmlns="http://schemas.openxmlformats.org/spreadsheetml/2006/main">
  <numFmts count="5">
    <numFmt numFmtId="164" formatCode="General"/>
    <numFmt numFmtId="165" formatCode="dd/mm/yyyy"/>
    <numFmt numFmtId="166" formatCode="0"/>
    <numFmt numFmtId="167" formatCode="dd/mm"/>
    <numFmt numFmtId="168" formatCode="General"/>
  </numFmts>
  <fonts count="20">
    <font>
      <sz val="11"/>
      <color theme="1"/>
      <name val="Calibri"/>
      <family val="2"/>
      <charset val="1"/>
    </font>
    <font>
      <sz val="10"/>
      <name val="Arial"/>
      <family val="0"/>
    </font>
    <font>
      <sz val="10"/>
      <name val="Arial"/>
      <family val="0"/>
    </font>
    <font>
      <sz val="10"/>
      <name val="Arial"/>
      <family val="0"/>
    </font>
    <font>
      <b val="true"/>
      <sz val="16"/>
      <color rgb="FFFFFFFF"/>
      <name val="Arial"/>
      <family val="0"/>
      <charset val="1"/>
    </font>
    <font>
      <i val="true"/>
      <sz val="9"/>
      <color rgb="FF404040"/>
      <name val="Arial"/>
      <family val="0"/>
      <charset val="1"/>
    </font>
    <font>
      <b val="true"/>
      <sz val="10"/>
      <color rgb="FFFFFFFF"/>
      <name val="Arial"/>
      <family val="0"/>
      <charset val="1"/>
    </font>
    <font>
      <b val="true"/>
      <sz val="11"/>
      <color rgb="FFFFFFFF"/>
      <name val="Arial"/>
      <family val="0"/>
      <charset val="1"/>
    </font>
    <font>
      <b val="true"/>
      <sz val="12"/>
      <color rgb="FF0000FF"/>
      <name val="Arial"/>
      <family val="0"/>
      <charset val="1"/>
    </font>
    <font>
      <i val="true"/>
      <sz val="9"/>
      <color rgb="FF808080"/>
      <name val="Arial"/>
      <family val="0"/>
      <charset val="1"/>
    </font>
    <font>
      <sz val="9"/>
      <color rgb="FF000000"/>
      <name val="Arial"/>
      <family val="0"/>
      <charset val="1"/>
    </font>
    <font>
      <b val="true"/>
      <sz val="9"/>
      <color rgb="FF000000"/>
      <name val="Arial"/>
      <family val="0"/>
      <charset val="1"/>
    </font>
    <font>
      <b val="true"/>
      <sz val="10"/>
      <color rgb="FF000000"/>
      <name val="Arial"/>
      <family val="0"/>
      <charset val="1"/>
    </font>
    <font>
      <b val="true"/>
      <sz val="11"/>
      <color rgb="FF000000"/>
      <name val="Arial"/>
      <family val="0"/>
      <charset val="1"/>
    </font>
    <font>
      <i val="true"/>
      <sz val="8"/>
      <color rgb="FF595959"/>
      <name val="Arial"/>
      <family val="0"/>
      <charset val="1"/>
    </font>
    <font>
      <sz val="10"/>
      <color rgb="FF000000"/>
      <name val="Arial"/>
      <family val="0"/>
      <charset val="1"/>
    </font>
    <font>
      <i val="true"/>
      <sz val="8"/>
      <color rgb="FF833C0C"/>
      <name val="Arial"/>
      <family val="0"/>
      <charset val="1"/>
    </font>
    <font>
      <b val="true"/>
      <sz val="9"/>
      <color rgb="FFFFFFFF"/>
      <name val="Arial"/>
      <family val="0"/>
      <charset val="1"/>
    </font>
    <font>
      <sz val="10"/>
      <color rgb="FF0000FF"/>
      <name val="Arial"/>
      <family val="0"/>
      <charset val="1"/>
    </font>
    <font>
      <sz val="10"/>
      <name val="Arial"/>
      <family val="2"/>
    </font>
  </fonts>
  <fills count="21">
    <fill>
      <patternFill patternType="none"/>
    </fill>
    <fill>
      <patternFill patternType="gray125"/>
    </fill>
    <fill>
      <patternFill patternType="solid">
        <fgColor rgb="FF1F3864"/>
        <bgColor rgb="FF404040"/>
      </patternFill>
    </fill>
    <fill>
      <patternFill patternType="solid">
        <fgColor rgb="FFFFF2CC"/>
        <bgColor rgb="FFF2F2F2"/>
      </patternFill>
    </fill>
    <fill>
      <patternFill patternType="solid">
        <fgColor rgb="FFF2F2F2"/>
        <bgColor rgb="FFE7E6E6"/>
      </patternFill>
    </fill>
    <fill>
      <patternFill patternType="solid">
        <fgColor rgb="FF2F5597"/>
        <bgColor rgb="FF2E75B6"/>
      </patternFill>
    </fill>
    <fill>
      <patternFill patternType="solid">
        <fgColor rgb="FFD9E2F3"/>
        <bgColor rgb="FFE7E6E6"/>
      </patternFill>
    </fill>
    <fill>
      <patternFill patternType="solid">
        <fgColor rgb="FFE7E6E6"/>
        <bgColor rgb="FFD9E2F3"/>
      </patternFill>
    </fill>
    <fill>
      <patternFill patternType="solid">
        <fgColor rgb="FF833C0C"/>
        <bgColor rgb="FF993366"/>
      </patternFill>
    </fill>
    <fill>
      <patternFill patternType="solid">
        <fgColor rgb="FF9DC3E6"/>
        <bgColor rgb="FF8FAADC"/>
      </patternFill>
    </fill>
    <fill>
      <patternFill patternType="solid">
        <fgColor rgb="FF2E75B6"/>
        <bgColor rgb="FF2F5597"/>
      </patternFill>
    </fill>
    <fill>
      <patternFill patternType="solid">
        <fgColor rgb="FFFFE699"/>
        <bgColor rgb="FFFFF2CC"/>
      </patternFill>
    </fill>
    <fill>
      <patternFill patternType="solid">
        <fgColor rgb="FFF4B183"/>
        <bgColor rgb="FFD5A6BD"/>
      </patternFill>
    </fill>
    <fill>
      <patternFill patternType="solid">
        <fgColor rgb="FFC6E0B4"/>
        <bgColor rgb="FFB7DEE8"/>
      </patternFill>
    </fill>
    <fill>
      <patternFill patternType="solid">
        <fgColor rgb="FFFFD966"/>
        <bgColor rgb="FFFFE699"/>
      </patternFill>
    </fill>
    <fill>
      <patternFill patternType="solid">
        <fgColor rgb="FFD9D2E9"/>
        <bgColor rgb="FFD9E2F3"/>
      </patternFill>
    </fill>
    <fill>
      <patternFill patternType="solid">
        <fgColor rgb="FFA9D08E"/>
        <bgColor rgb="FFC6E0B4"/>
      </patternFill>
    </fill>
    <fill>
      <patternFill patternType="solid">
        <fgColor rgb="FF8FAADC"/>
        <bgColor rgb="FF9DC3E6"/>
      </patternFill>
    </fill>
    <fill>
      <patternFill patternType="solid">
        <fgColor rgb="FFFFC7CE"/>
        <bgColor rgb="FFD9D2E9"/>
      </patternFill>
    </fill>
    <fill>
      <patternFill patternType="solid">
        <fgColor rgb="FFB7DEE8"/>
        <bgColor rgb="FFC6E0B4"/>
      </patternFill>
    </fill>
    <fill>
      <patternFill patternType="solid">
        <fgColor rgb="FFD5A6BD"/>
        <bgColor rgb="FFA6A6A6"/>
      </patternFill>
    </fill>
  </fills>
  <borders count="3">
    <border diagonalUp="false" diagonalDown="false">
      <left/>
      <right/>
      <top/>
      <bottom/>
      <diagonal/>
    </border>
    <border diagonalUp="false" diagonalDown="false">
      <left style="medium">
        <color rgb="FF404040"/>
      </left>
      <right/>
      <top style="medium">
        <color rgb="FF404040"/>
      </top>
      <bottom style="medium">
        <color rgb="FF404040"/>
      </bottom>
      <diagonal/>
    </border>
    <border diagonalUp="false" diagonalDown="false">
      <left style="thin">
        <color rgb="FFA6A6A6"/>
      </left>
      <right style="thin">
        <color rgb="FFA6A6A6"/>
      </right>
      <top style="thin">
        <color rgb="FFA6A6A6"/>
      </top>
      <bottom style="thin">
        <color rgb="FFA6A6A6"/>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0" shrinkToFit="false"/>
      <protection locked="true" hidden="false"/>
    </xf>
    <xf numFmtId="164" fontId="5" fillId="0" borderId="0" xfId="0" applyFont="true" applyBorder="true" applyAlignment="true" applyProtection="false">
      <alignment horizontal="left" vertical="center" textRotation="0" wrapText="true" indent="0" shrinkToFit="false"/>
      <protection locked="true" hidden="false"/>
    </xf>
    <xf numFmtId="164" fontId="6" fillId="2" borderId="0" xfId="0" applyFont="true" applyBorder="true" applyAlignment="true" applyProtection="false">
      <alignment horizontal="left" vertical="center" textRotation="0" wrapText="false" indent="0" shrinkToFit="false"/>
      <protection locked="true" hidden="false"/>
    </xf>
    <xf numFmtId="164" fontId="7" fillId="2" borderId="0" xfId="0" applyFont="true" applyBorder="false" applyAlignment="true" applyProtection="false">
      <alignment horizontal="left" vertical="center" textRotation="0" wrapText="false" indent="0" shrinkToFit="false"/>
      <protection locked="true" hidden="false"/>
    </xf>
    <xf numFmtId="164" fontId="8" fillId="3" borderId="1" xfId="0" applyFont="true" applyBorder="true" applyAlignment="true" applyProtection="false">
      <alignment horizontal="center" vertical="center" textRotation="0" wrapText="false" indent="0" shrinkToFit="false"/>
      <protection locked="true" hidden="false"/>
    </xf>
    <xf numFmtId="164" fontId="9" fillId="0" borderId="0" xfId="0" applyFont="true" applyBorder="false" applyAlignment="true" applyProtection="false">
      <alignment horizontal="left" vertical="center" textRotation="0" wrapText="false" indent="0" shrinkToFit="false"/>
      <protection locked="true" hidden="false"/>
    </xf>
    <xf numFmtId="164" fontId="10" fillId="4" borderId="2" xfId="0" applyFont="true" applyBorder="true" applyAlignment="true" applyProtection="false">
      <alignment horizontal="left" vertical="center" textRotation="0" wrapText="false" indent="0" shrinkToFit="false"/>
      <protection locked="true" hidden="false"/>
    </xf>
    <xf numFmtId="165" fontId="11" fillId="0" borderId="2" xfId="0" applyFont="true" applyBorder="true" applyAlignment="true" applyProtection="false">
      <alignment horizontal="center" vertical="center" textRotation="0" wrapText="false" indent="0" shrinkToFit="false"/>
      <protection locked="true" hidden="false"/>
    </xf>
    <xf numFmtId="164" fontId="7" fillId="2" borderId="0" xfId="0" applyFont="true" applyBorder="true" applyAlignment="true" applyProtection="false">
      <alignment horizontal="left" vertical="center" textRotation="0" wrapText="false" indent="0" shrinkToFit="false"/>
      <protection locked="true" hidden="false"/>
    </xf>
    <xf numFmtId="164" fontId="6" fillId="5" borderId="2" xfId="0" applyFont="true" applyBorder="true" applyAlignment="true" applyProtection="false">
      <alignment horizontal="center" vertical="center" textRotation="0" wrapText="false" indent="0" shrinkToFit="false"/>
      <protection locked="true" hidden="false"/>
    </xf>
    <xf numFmtId="164" fontId="11" fillId="0" borderId="2" xfId="0" applyFont="true" applyBorder="true" applyAlignment="true" applyProtection="false">
      <alignment horizontal="center" vertical="center" textRotation="0" wrapText="false" indent="0" shrinkToFit="false"/>
      <protection locked="true" hidden="false"/>
    </xf>
    <xf numFmtId="164" fontId="12" fillId="6" borderId="2" xfId="0" applyFont="true" applyBorder="true" applyAlignment="true" applyProtection="false">
      <alignment horizontal="left" vertical="center" textRotation="0" wrapText="false" indent="0" shrinkToFit="false"/>
      <protection locked="true" hidden="false"/>
    </xf>
    <xf numFmtId="164" fontId="13" fillId="0" borderId="2" xfId="0" applyFont="true" applyBorder="true" applyAlignment="true" applyProtection="false">
      <alignment horizontal="center" vertical="center" textRotation="0" wrapText="false" indent="0" shrinkToFit="false"/>
      <protection locked="true" hidden="false"/>
    </xf>
    <xf numFmtId="166" fontId="11" fillId="0" borderId="2" xfId="0" applyFont="true" applyBorder="true" applyAlignment="true" applyProtection="false">
      <alignment horizontal="center" vertical="center" textRotation="0" wrapText="false" indent="0" shrinkToFit="false"/>
      <protection locked="true" hidden="false"/>
    </xf>
    <xf numFmtId="164" fontId="14" fillId="6" borderId="2" xfId="0" applyFont="true" applyBorder="true" applyAlignment="true" applyProtection="false">
      <alignment horizontal="left" vertical="center" textRotation="0" wrapText="false" indent="0" shrinkToFit="false"/>
      <protection locked="true" hidden="false"/>
    </xf>
    <xf numFmtId="167" fontId="14" fillId="0" borderId="2" xfId="0" applyFont="true" applyBorder="true" applyAlignment="true" applyProtection="false">
      <alignment horizontal="center" vertical="center" textRotation="0" wrapText="false" indent="0" shrinkToFit="false"/>
      <protection locked="true" hidden="false"/>
    </xf>
    <xf numFmtId="164" fontId="11" fillId="7" borderId="2" xfId="0" applyFont="true" applyBorder="true" applyAlignment="true" applyProtection="false">
      <alignment horizontal="left" vertical="center" textRotation="0" wrapText="false" indent="0" shrinkToFit="false"/>
      <protection locked="true" hidden="false"/>
    </xf>
    <xf numFmtId="168" fontId="12" fillId="7" borderId="2" xfId="0" applyFont="true" applyBorder="true" applyAlignment="true" applyProtection="false">
      <alignment horizontal="center" vertical="center" textRotation="0" wrapText="false" indent="0" shrinkToFit="false"/>
      <protection locked="true" hidden="false"/>
    </xf>
    <xf numFmtId="164" fontId="14" fillId="0" borderId="0" xfId="0" applyFont="true" applyBorder="true" applyAlignment="true" applyProtection="false">
      <alignment horizontal="left" vertical="center" textRotation="0" wrapText="false" indent="0" shrinkToFit="false"/>
      <protection locked="true" hidden="false"/>
    </xf>
    <xf numFmtId="164" fontId="6" fillId="5" borderId="2" xfId="0" applyFont="true" applyBorder="true" applyAlignment="true" applyProtection="false">
      <alignment horizontal="center" vertical="center" textRotation="0" wrapText="true" indent="0" shrinkToFit="false"/>
      <protection locked="true" hidden="false"/>
    </xf>
    <xf numFmtId="164" fontId="12" fillId="0" borderId="2" xfId="0" applyFont="true" applyBorder="true" applyAlignment="true" applyProtection="false">
      <alignment horizontal="center" vertical="center" textRotation="0" wrapText="false" indent="0" shrinkToFit="false"/>
      <protection locked="true" hidden="false"/>
    </xf>
    <xf numFmtId="164" fontId="15" fillId="0" borderId="2" xfId="0" applyFont="true" applyBorder="true" applyAlignment="true" applyProtection="false">
      <alignment horizontal="center" vertical="center" textRotation="0" wrapText="false" indent="0" shrinkToFit="false"/>
      <protection locked="true" hidden="false"/>
    </xf>
    <xf numFmtId="166" fontId="15" fillId="0" borderId="2" xfId="0" applyFont="true" applyBorder="true" applyAlignment="true" applyProtection="false">
      <alignment horizontal="center" vertical="center" textRotation="0" wrapText="false" indent="0" shrinkToFit="false"/>
      <protection locked="true" hidden="false"/>
    </xf>
    <xf numFmtId="166" fontId="12" fillId="0" borderId="2" xfId="0" applyFont="true" applyBorder="true" applyAlignment="true" applyProtection="false">
      <alignment horizontal="center" vertical="center" textRotation="0" wrapText="false" indent="0" shrinkToFit="false"/>
      <protection locked="true" hidden="false"/>
    </xf>
    <xf numFmtId="164" fontId="6" fillId="2" borderId="2" xfId="0" applyFont="true" applyBorder="true" applyAlignment="true" applyProtection="false">
      <alignment horizontal="left" vertical="center" textRotation="0" wrapText="false" indent="0" shrinkToFit="false"/>
      <protection locked="true" hidden="false"/>
    </xf>
    <xf numFmtId="164" fontId="15" fillId="2" borderId="2" xfId="0" applyFont="true" applyBorder="true" applyAlignment="true" applyProtection="false">
      <alignment horizontal="center" vertical="center" textRotation="0" wrapText="false" indent="0" shrinkToFit="false"/>
      <protection locked="true" hidden="false"/>
    </xf>
    <xf numFmtId="166" fontId="6" fillId="2" borderId="2" xfId="0" applyFont="true" applyBorder="true" applyAlignment="true" applyProtection="false">
      <alignment horizontal="center" vertical="center" textRotation="0" wrapText="false" indent="0" shrinkToFit="false"/>
      <protection locked="true" hidden="false"/>
    </xf>
    <xf numFmtId="166" fontId="7" fillId="2" borderId="2" xfId="0" applyFont="true" applyBorder="true" applyAlignment="true" applyProtection="false">
      <alignment horizontal="center" vertical="center" textRotation="0" wrapText="false" indent="0" shrinkToFit="false"/>
      <protection locked="true" hidden="false"/>
    </xf>
    <xf numFmtId="164" fontId="14" fillId="0" borderId="0" xfId="0" applyFont="true" applyBorder="true" applyAlignment="true" applyProtection="false">
      <alignment horizontal="left" vertical="center" textRotation="0" wrapText="true" indent="0" shrinkToFit="false"/>
      <protection locked="true" hidden="false"/>
    </xf>
    <xf numFmtId="164" fontId="7" fillId="8" borderId="0" xfId="0" applyFont="true" applyBorder="true" applyAlignment="true" applyProtection="false">
      <alignment horizontal="left" vertical="center" textRotation="0" wrapText="false" indent="0" shrinkToFit="false"/>
      <protection locked="true" hidden="false"/>
    </xf>
    <xf numFmtId="164" fontId="16" fillId="0" borderId="0" xfId="0" applyFont="true" applyBorder="true" applyAlignment="true" applyProtection="false">
      <alignment horizontal="left" vertical="center" textRotation="0" wrapText="true" indent="0" shrinkToFit="false"/>
      <protection locked="true" hidden="false"/>
    </xf>
    <xf numFmtId="164" fontId="17" fillId="8" borderId="2" xfId="0" applyFont="true" applyBorder="true" applyAlignment="true" applyProtection="false">
      <alignment horizontal="center" vertical="center" textRotation="0" wrapText="true" indent="0" shrinkToFit="false"/>
      <protection locked="true" hidden="false"/>
    </xf>
    <xf numFmtId="164" fontId="17" fillId="8" borderId="2" xfId="0" applyFont="true" applyBorder="true" applyAlignment="true" applyProtection="false">
      <alignment horizontal="center" vertical="center" textRotation="0" wrapText="false" indent="0" shrinkToFit="false"/>
      <protection locked="true" hidden="false"/>
    </xf>
    <xf numFmtId="164" fontId="12" fillId="0" borderId="2" xfId="0" applyFont="true" applyBorder="true" applyAlignment="true" applyProtection="false">
      <alignment horizontal="left" vertical="center" textRotation="0" wrapText="false" indent="0" shrinkToFit="false"/>
      <protection locked="true" hidden="false"/>
    </xf>
    <xf numFmtId="164" fontId="18" fillId="0" borderId="2" xfId="0" applyFont="true" applyBorder="true" applyAlignment="true" applyProtection="false">
      <alignment horizontal="center" vertical="center" textRotation="0" wrapText="false" indent="0" shrinkToFit="false"/>
      <protection locked="true" hidden="false"/>
    </xf>
    <xf numFmtId="164" fontId="15" fillId="9" borderId="2" xfId="0" applyFont="true" applyBorder="true" applyAlignment="true" applyProtection="false">
      <alignment horizontal="center" vertical="center" textRotation="0" wrapText="false" indent="0" shrinkToFit="false"/>
      <protection locked="true" hidden="false"/>
    </xf>
    <xf numFmtId="164" fontId="10" fillId="0" borderId="2" xfId="0" applyFont="true" applyBorder="true" applyAlignment="true" applyProtection="false">
      <alignment horizontal="left" vertical="center" textRotation="0" wrapText="false" indent="0" shrinkToFit="false"/>
      <protection locked="true" hidden="false"/>
    </xf>
    <xf numFmtId="165" fontId="10" fillId="0" borderId="2" xfId="0" applyFont="true" applyBorder="true" applyAlignment="true" applyProtection="false">
      <alignment horizontal="center" vertical="center" textRotation="0" wrapText="false" indent="0" shrinkToFit="false"/>
      <protection locked="true" hidden="false"/>
    </xf>
    <xf numFmtId="164" fontId="10" fillId="0" borderId="2" xfId="0" applyFont="true" applyBorder="true" applyAlignment="true" applyProtection="false">
      <alignment horizontal="center" vertical="center" textRotation="0" wrapText="false" indent="0" shrinkToFit="false"/>
      <protection locked="true" hidden="false"/>
    </xf>
    <xf numFmtId="164" fontId="15" fillId="10" borderId="2" xfId="0" applyFont="true" applyBorder="true" applyAlignment="true" applyProtection="false">
      <alignment horizontal="center" vertical="center" textRotation="0" wrapText="false" indent="0" shrinkToFit="false"/>
      <protection locked="true" hidden="false"/>
    </xf>
    <xf numFmtId="164" fontId="15" fillId="11" borderId="2" xfId="0" applyFont="true" applyBorder="true" applyAlignment="true" applyProtection="false">
      <alignment horizontal="center" vertical="center" textRotation="0" wrapText="false" indent="0" shrinkToFit="false"/>
      <protection locked="true" hidden="false"/>
    </xf>
    <xf numFmtId="164" fontId="15" fillId="12" borderId="2" xfId="0" applyFont="true" applyBorder="true" applyAlignment="true" applyProtection="false">
      <alignment horizontal="center" vertical="center" textRotation="0" wrapText="false" indent="0" shrinkToFit="false"/>
      <protection locked="true" hidden="false"/>
    </xf>
    <xf numFmtId="164" fontId="15" fillId="13" borderId="2" xfId="0" applyFont="true" applyBorder="true" applyAlignment="true" applyProtection="false">
      <alignment horizontal="center" vertical="center" textRotation="0" wrapText="false" indent="0" shrinkToFit="false"/>
      <protection locked="true" hidden="false"/>
    </xf>
    <xf numFmtId="164" fontId="15" fillId="14" borderId="2" xfId="0" applyFont="true" applyBorder="true" applyAlignment="true" applyProtection="false">
      <alignment horizontal="center" vertical="center" textRotation="0" wrapText="false" indent="0" shrinkToFit="false"/>
      <protection locked="true" hidden="false"/>
    </xf>
    <xf numFmtId="164" fontId="15" fillId="15" borderId="2" xfId="0" applyFont="true" applyBorder="true" applyAlignment="true" applyProtection="false">
      <alignment horizontal="center" vertical="center" textRotation="0" wrapText="false" indent="0" shrinkToFit="false"/>
      <protection locked="true" hidden="false"/>
    </xf>
    <xf numFmtId="164" fontId="15" fillId="16" borderId="2" xfId="0" applyFont="true" applyBorder="true" applyAlignment="true" applyProtection="false">
      <alignment horizontal="center" vertical="center" textRotation="0" wrapText="false" indent="0" shrinkToFit="false"/>
      <protection locked="true" hidden="false"/>
    </xf>
    <xf numFmtId="164" fontId="15" fillId="17" borderId="2" xfId="0" applyFont="true" applyBorder="true" applyAlignment="true" applyProtection="false">
      <alignment horizontal="center" vertical="center" textRotation="0" wrapText="false" indent="0" shrinkToFit="false"/>
      <protection locked="true" hidden="false"/>
    </xf>
    <xf numFmtId="164" fontId="15" fillId="18" borderId="2" xfId="0" applyFont="true" applyBorder="true" applyAlignment="true" applyProtection="false">
      <alignment horizontal="center" vertical="center" textRotation="0" wrapText="false" indent="0" shrinkToFit="false"/>
      <protection locked="true" hidden="false"/>
    </xf>
    <xf numFmtId="164" fontId="15" fillId="19" borderId="2" xfId="0" applyFont="true" applyBorder="true" applyAlignment="true" applyProtection="false">
      <alignment horizontal="center" vertical="center" textRotation="0" wrapText="false" indent="0" shrinkToFit="false"/>
      <protection locked="true" hidden="false"/>
    </xf>
    <xf numFmtId="164" fontId="15" fillId="20" borderId="2" xfId="0" applyFont="true" applyBorder="true" applyAlignment="true" applyProtection="false">
      <alignment horizontal="center"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4">
    <dxf>
      <font>
        <name val="Arial"/>
        <charset val="1"/>
        <family val="0"/>
        <b val="1"/>
        <color rgb="FF000000"/>
        <sz val="11"/>
      </font>
      <fill>
        <patternFill>
          <bgColor rgb="FF9DC3E6"/>
        </patternFill>
      </fill>
    </dxf>
    <dxf>
      <font>
        <name val="Arial"/>
        <charset val="1"/>
        <family val="0"/>
        <b val="1"/>
        <color rgb="FFFFFFFF"/>
        <sz val="11"/>
      </font>
      <fill>
        <patternFill>
          <bgColor rgb="FF2E75B6"/>
        </patternFill>
      </fill>
    </dxf>
    <dxf>
      <font>
        <name val="Arial"/>
        <charset val="1"/>
        <family val="0"/>
        <b val="1"/>
        <color rgb="FF000000"/>
        <sz val="11"/>
      </font>
      <fill>
        <patternFill>
          <bgColor rgb="FFFFE699"/>
        </patternFill>
      </fill>
    </dxf>
    <dxf>
      <font>
        <name val="Arial"/>
        <charset val="1"/>
        <family val="0"/>
        <b val="1"/>
        <color rgb="FF000000"/>
        <sz val="11"/>
      </font>
      <fill>
        <patternFill>
          <bgColor rgb="FFF4B183"/>
        </patternFill>
      </fill>
    </dxf>
    <dxf>
      <font>
        <name val="Arial"/>
        <charset val="1"/>
        <family val="0"/>
        <b val="1"/>
        <color rgb="FF000000"/>
        <sz val="11"/>
      </font>
      <fill>
        <patternFill>
          <bgColor rgb="FFC6E0B4"/>
        </patternFill>
      </fill>
    </dxf>
    <dxf>
      <font>
        <name val="Arial"/>
        <charset val="1"/>
        <family val="0"/>
        <b val="1"/>
        <color rgb="FF000000"/>
        <sz val="11"/>
      </font>
      <fill>
        <patternFill>
          <bgColor rgb="FFFFD966"/>
        </patternFill>
      </fill>
    </dxf>
    <dxf>
      <font>
        <name val="Arial"/>
        <charset val="1"/>
        <family val="0"/>
        <b val="1"/>
        <color rgb="FF000000"/>
        <sz val="11"/>
      </font>
      <fill>
        <patternFill>
          <bgColor rgb="FFD9D2E9"/>
        </patternFill>
      </fill>
    </dxf>
    <dxf>
      <font>
        <name val="Arial"/>
        <charset val="1"/>
        <family val="0"/>
        <b val="1"/>
        <color rgb="FF000000"/>
        <sz val="11"/>
      </font>
      <fill>
        <patternFill>
          <bgColor rgb="FFA9D08E"/>
        </patternFill>
      </fill>
    </dxf>
    <dxf>
      <font>
        <name val="Arial"/>
        <charset val="1"/>
        <family val="0"/>
        <b val="1"/>
        <color rgb="FF000000"/>
        <sz val="11"/>
      </font>
      <fill>
        <patternFill>
          <bgColor rgb="FF8FAADC"/>
        </patternFill>
      </fill>
    </dxf>
    <dxf>
      <font>
        <name val="Arial"/>
        <charset val="1"/>
        <family val="0"/>
        <b val="1"/>
        <color rgb="FF000000"/>
        <sz val="11"/>
      </font>
      <fill>
        <patternFill>
          <bgColor rgb="FFFFC7CE"/>
        </patternFill>
      </fill>
    </dxf>
    <dxf>
      <font>
        <name val="Arial"/>
        <charset val="1"/>
        <family val="0"/>
        <b val="1"/>
        <color rgb="FF000000"/>
        <sz val="11"/>
      </font>
      <fill>
        <patternFill>
          <bgColor rgb="FFB7DEE8"/>
        </patternFill>
      </fill>
    </dxf>
    <dxf>
      <font>
        <name val="Arial"/>
        <charset val="1"/>
        <family val="0"/>
        <b val="1"/>
        <color rgb="FF000000"/>
        <sz val="11"/>
      </font>
      <fill>
        <patternFill>
          <bgColor rgb="FFD5A6BD"/>
        </patternFill>
      </fill>
    </dxf>
    <dxf>
      <font>
        <name val="Arial"/>
        <charset val="1"/>
        <family val="0"/>
        <b val="1"/>
        <color rgb="FF000000"/>
        <sz val="10"/>
      </font>
      <fill>
        <patternFill>
          <bgColor rgb="FF9DC3E6"/>
        </patternFill>
      </fill>
    </dxf>
    <dxf>
      <font>
        <name val="Arial"/>
        <charset val="1"/>
        <family val="0"/>
        <b val="1"/>
        <color rgb="FFFFFFFF"/>
        <sz val="10"/>
      </font>
      <fill>
        <patternFill>
          <bgColor rgb="FF2E75B6"/>
        </patternFill>
      </fill>
    </dxf>
    <dxf>
      <font>
        <name val="Arial"/>
        <charset val="1"/>
        <family val="0"/>
        <b val="1"/>
        <color rgb="FF000000"/>
        <sz val="10"/>
      </font>
      <fill>
        <patternFill>
          <bgColor rgb="FFFFE699"/>
        </patternFill>
      </fill>
    </dxf>
    <dxf>
      <font>
        <name val="Arial"/>
        <charset val="1"/>
        <family val="0"/>
        <b val="1"/>
        <color rgb="FF000000"/>
        <sz val="10"/>
      </font>
      <fill>
        <patternFill>
          <bgColor rgb="FFF4B183"/>
        </patternFill>
      </fill>
    </dxf>
    <dxf>
      <font>
        <name val="Arial"/>
        <charset val="1"/>
        <family val="0"/>
        <b val="1"/>
        <color rgb="FF000000"/>
        <sz val="10"/>
      </font>
      <fill>
        <patternFill>
          <bgColor rgb="FFC6E0B4"/>
        </patternFill>
      </fill>
    </dxf>
    <dxf>
      <font>
        <name val="Arial"/>
        <charset val="1"/>
        <family val="0"/>
        <b val="1"/>
        <color rgb="FF000000"/>
        <sz val="10"/>
      </font>
      <fill>
        <patternFill>
          <bgColor rgb="FFFFD966"/>
        </patternFill>
      </fill>
    </dxf>
    <dxf>
      <font>
        <name val="Arial"/>
        <charset val="1"/>
        <family val="0"/>
        <b val="1"/>
        <color rgb="FF000000"/>
        <sz val="10"/>
      </font>
      <fill>
        <patternFill>
          <bgColor rgb="FFD9D2E9"/>
        </patternFill>
      </fill>
    </dxf>
    <dxf>
      <font>
        <name val="Arial"/>
        <charset val="1"/>
        <family val="0"/>
        <b val="1"/>
        <color rgb="FF000000"/>
        <sz val="10"/>
      </font>
      <fill>
        <patternFill>
          <bgColor rgb="FFA9D08E"/>
        </patternFill>
      </fill>
    </dxf>
    <dxf>
      <font>
        <name val="Arial"/>
        <charset val="1"/>
        <family val="0"/>
        <b val="1"/>
        <color rgb="FF000000"/>
        <sz val="10"/>
      </font>
      <fill>
        <patternFill>
          <bgColor rgb="FF8FAADC"/>
        </patternFill>
      </fill>
    </dxf>
    <dxf>
      <font>
        <name val="Arial"/>
        <charset val="1"/>
        <family val="0"/>
        <b val="1"/>
        <color rgb="FF000000"/>
        <sz val="10"/>
      </font>
      <fill>
        <patternFill>
          <bgColor rgb="FFFFC7CE"/>
        </patternFill>
      </fill>
    </dxf>
    <dxf>
      <font>
        <name val="Arial"/>
        <charset val="1"/>
        <family val="0"/>
        <b val="1"/>
        <color rgb="FF000000"/>
        <sz val="10"/>
      </font>
      <fill>
        <patternFill>
          <bgColor rgb="FFB7DEE8"/>
        </patternFill>
      </fill>
    </dxf>
    <dxf>
      <font>
        <name val="Arial"/>
        <charset val="1"/>
        <family val="0"/>
        <b val="1"/>
        <color rgb="FF000000"/>
        <sz val="10"/>
      </font>
      <fill>
        <patternFill>
          <bgColor rgb="FFD5A6BD"/>
        </patternFill>
      </fill>
    </dxf>
  </dxfs>
  <colors>
    <indexedColors>
      <rgbColor rgb="FF000000"/>
      <rgbColor rgb="FFFFFFFF"/>
      <rgbColor rgb="FFFF0000"/>
      <rgbColor rgb="FF00FF00"/>
      <rgbColor rgb="FF0000FF"/>
      <rgbColor rgb="FFE7E6E6"/>
      <rgbColor rgb="FFFF00FF"/>
      <rgbColor rgb="FF00FFFF"/>
      <rgbColor rgb="FF800000"/>
      <rgbColor rgb="FF008000"/>
      <rgbColor rgb="FF000080"/>
      <rgbColor rgb="FF808000"/>
      <rgbColor rgb="FF800080"/>
      <rgbColor rgb="FF008080"/>
      <rgbColor rgb="FFD5A6BD"/>
      <rgbColor rgb="FF808080"/>
      <rgbColor rgb="FF8FAADC"/>
      <rgbColor rgb="FF993366"/>
      <rgbColor rgb="FFFFF2CC"/>
      <rgbColor rgb="FFF2F2F2"/>
      <rgbColor rgb="FF660066"/>
      <rgbColor rgb="FFFF8080"/>
      <rgbColor rgb="FF0066CC"/>
      <rgbColor rgb="FFD9D2E9"/>
      <rgbColor rgb="FF000080"/>
      <rgbColor rgb="FFFF00FF"/>
      <rgbColor rgb="FFFFFF00"/>
      <rgbColor rgb="FF00FFFF"/>
      <rgbColor rgb="FF800080"/>
      <rgbColor rgb="FF800000"/>
      <rgbColor rgb="FF008080"/>
      <rgbColor rgb="FF0000FF"/>
      <rgbColor rgb="FF00CCFF"/>
      <rgbColor rgb="FFD9E2F3"/>
      <rgbColor rgb="FFC6E0B4"/>
      <rgbColor rgb="FFFFE699"/>
      <rgbColor rgb="FF9DC3E6"/>
      <rgbColor rgb="FFF4B183"/>
      <rgbColor rgb="FFB7DEE8"/>
      <rgbColor rgb="FFFFC7CE"/>
      <rgbColor rgb="FF2E75B6"/>
      <rgbColor rgb="FF33CCCC"/>
      <rgbColor rgb="FFA9D08E"/>
      <rgbColor rgb="FFFFD966"/>
      <rgbColor rgb="FFFF9900"/>
      <rgbColor rgb="FFFF6600"/>
      <rgbColor rgb="FF595959"/>
      <rgbColor rgb="FFA6A6A6"/>
      <rgbColor rgb="FF1F3864"/>
      <rgbColor rgb="FF339966"/>
      <rgbColor rgb="FF003300"/>
      <rgbColor rgb="FF333300"/>
      <rgbColor rgb="FF833C0C"/>
      <rgbColor rgb="FF993366"/>
      <rgbColor rgb="FF2F5597"/>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P54"/>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30"/>
    <col collapsed="false" customWidth="true" hidden="false" outlineLevel="0" max="9" min="3" style="0" width="15"/>
    <col collapsed="false" customWidth="true" hidden="false" outlineLevel="0" max="10" min="10" style="0" width="3"/>
    <col collapsed="false" customWidth="true" hidden="false" outlineLevel="0" max="11" min="11" style="0" width="34"/>
    <col collapsed="false" customWidth="true" hidden="false" outlineLevel="0" max="12" min="12" style="0" width="14"/>
    <col collapsed="false" customWidth="true" hidden="false" outlineLevel="0" max="13" min="13" style="0" width="3"/>
    <col collapsed="false" customWidth="true" hidden="false" outlineLevel="0" max="14" min="14" style="0" width="16"/>
    <col collapsed="false" customWidth="true" hidden="false" outlineLevel="0" max="16" min="15" style="0" width="12"/>
  </cols>
  <sheetData>
    <row r="1" customFormat="false" ht="30" hidden="false" customHeight="true" outlineLevel="0" collapsed="false">
      <c r="B1" s="1" t="s">
        <v>0</v>
      </c>
      <c r="C1" s="1"/>
      <c r="D1" s="1"/>
      <c r="E1" s="1"/>
      <c r="F1" s="1"/>
      <c r="G1" s="1"/>
      <c r="H1" s="1"/>
      <c r="I1" s="1"/>
    </row>
    <row r="2" customFormat="false" ht="25.5" hidden="false" customHeight="true" outlineLevel="0" collapsed="false">
      <c r="B2" s="2" t="s">
        <v>1</v>
      </c>
      <c r="C2" s="2"/>
      <c r="D2" s="2"/>
      <c r="E2" s="2"/>
      <c r="F2" s="2"/>
      <c r="G2" s="2"/>
      <c r="H2" s="2"/>
      <c r="I2" s="2"/>
    </row>
    <row r="3" customFormat="false" ht="15" hidden="false" customHeight="false" outlineLevel="0" collapsed="false">
      <c r="K3" s="3" t="s">
        <v>2</v>
      </c>
      <c r="L3" s="3"/>
    </row>
    <row r="4" customFormat="false" ht="15" hidden="false" customHeight="false" outlineLevel="0" collapsed="false">
      <c r="B4" s="4" t="s">
        <v>3</v>
      </c>
      <c r="C4" s="5" t="s">
        <v>4</v>
      </c>
      <c r="D4" s="5"/>
      <c r="E4" s="6" t="s">
        <v>5</v>
      </c>
      <c r="K4" s="7" t="s">
        <v>6</v>
      </c>
      <c r="L4" s="8" t="n">
        <f aca="false">INDEX($O$43:$O$54,MATCH($C$4,$N$43:$N$54,0))</f>
        <v>46478</v>
      </c>
    </row>
    <row r="5" customFormat="false" ht="15" hidden="false" customHeight="false" outlineLevel="0" collapsed="false">
      <c r="B5" s="4" t="s">
        <v>7</v>
      </c>
      <c r="C5" s="5" t="s">
        <v>8</v>
      </c>
      <c r="D5" s="5"/>
      <c r="E5" s="6" t="s">
        <v>5</v>
      </c>
      <c r="K5" s="7" t="s">
        <v>9</v>
      </c>
      <c r="L5" s="8" t="n">
        <f aca="false">EOMONTH($L$4,0)</f>
        <v>46507</v>
      </c>
    </row>
    <row r="6" customFormat="false" ht="15" hidden="false" customHeight="false" outlineLevel="0" collapsed="false">
      <c r="B6" s="9" t="s">
        <v>10</v>
      </c>
      <c r="C6" s="9"/>
      <c r="D6" s="9"/>
      <c r="E6" s="9"/>
      <c r="F6" s="9"/>
      <c r="G6" s="9"/>
      <c r="H6" s="9"/>
      <c r="I6" s="9"/>
      <c r="K6" s="7" t="s">
        <v>11</v>
      </c>
      <c r="L6" s="8" t="n">
        <f aca="false">$L$4-WEEKDAY($L$4,3)</f>
        <v>46475</v>
      </c>
    </row>
    <row r="7" customFormat="false" ht="15" hidden="false" customHeight="false" outlineLevel="0" collapsed="false">
      <c r="B7" s="10" t="s">
        <v>12</v>
      </c>
      <c r="C7" s="10" t="s">
        <v>13</v>
      </c>
      <c r="D7" s="10" t="s">
        <v>14</v>
      </c>
      <c r="E7" s="10" t="s">
        <v>15</v>
      </c>
      <c r="F7" s="10" t="s">
        <v>16</v>
      </c>
      <c r="G7" s="10" t="s">
        <v>17</v>
      </c>
      <c r="H7" s="10" t="s">
        <v>18</v>
      </c>
      <c r="I7" s="10" t="s">
        <v>19</v>
      </c>
      <c r="K7" s="7" t="s">
        <v>20</v>
      </c>
      <c r="L7" s="11" t="str">
        <f aca="false">IFERROR(INDEX($C$43:$C$54,MATCH($C$5,$B$43:$B$54,0)),"")</f>
        <v>A320</v>
      </c>
    </row>
    <row r="8" customFormat="false" ht="21.75" hidden="false" customHeight="true" outlineLevel="0" collapsed="false">
      <c r="B8" s="12" t="s">
        <v>21</v>
      </c>
      <c r="C8" s="13" t="str">
        <f aca="false">IF(C9="","",IFERROR(IF(INDEX($D$43:$J$54,MATCH($C$5,$B$43:$B$54,0),1)=1,INDEX($C$43:$C$54,MATCH($C$5,$B$43:$B$54,0)),""),""))</f>
        <v/>
      </c>
      <c r="D8" s="13" t="str">
        <f aca="false">IF(D9="","",IFERROR(IF(INDEX($D$43:$J$54,MATCH($C$5,$B$43:$B$54,0),2)=1,INDEX($C$43:$C$54,MATCH($C$5,$B$43:$B$54,0)),""),""))</f>
        <v/>
      </c>
      <c r="E8" s="13" t="str">
        <f aca="false">IF(E9="","",IFERROR(IF(INDEX($D$43:$J$54,MATCH($C$5,$B$43:$B$54,0),3)=1,INDEX($C$43:$C$54,MATCH($C$5,$B$43:$B$54,0)),""),""))</f>
        <v/>
      </c>
      <c r="F8" s="13" t="str">
        <f aca="false">IF(F9="","",IFERROR(IF(INDEX($D$43:$J$54,MATCH($C$5,$B$43:$B$54,0),4)=1,INDEX($C$43:$C$54,MATCH($C$5,$B$43:$B$54,0)),""),""))</f>
        <v>A320</v>
      </c>
      <c r="G8" s="13" t="str">
        <f aca="false">IF(G9="","",IFERROR(IF(INDEX($D$43:$J$54,MATCH($C$5,$B$43:$B$54,0),5)=1,INDEX($C$43:$C$54,MATCH($C$5,$B$43:$B$54,0)),""),""))</f>
        <v/>
      </c>
      <c r="H8" s="13" t="str">
        <f aca="false">IF(H9="","",IFERROR(IF(INDEX($D$43:$J$54,MATCH($C$5,$B$43:$B$54,0),6)=1,INDEX($C$43:$C$54,MATCH($C$5,$B$43:$B$54,0)),""),""))</f>
        <v>A320</v>
      </c>
      <c r="I8" s="13" t="str">
        <f aca="false">IF(I9="","",IFERROR(IF(INDEX($D$43:$J$54,MATCH($C$5,$B$43:$B$54,0),7)=1,INDEX($C$43:$C$54,MATCH($C$5,$B$43:$B$54,0)),""),""))</f>
        <v/>
      </c>
      <c r="K8" s="7" t="s">
        <v>22</v>
      </c>
      <c r="L8" s="14" t="n">
        <f aca="false">IFERROR(SUM(INDEX($D$43:$J$54,MATCH($C$5,$B$43:$B$54,0),0)),"")</f>
        <v>3</v>
      </c>
    </row>
    <row r="9" customFormat="false" ht="13.5" hidden="false" customHeight="true" outlineLevel="0" collapsed="false">
      <c r="B9" s="15" t="str">
        <f aca="false">IF(COUNT(C9:I9)=0,"","du "&amp;TEXT(MIN(C9:I9),"DD/MM")&amp;" au "&amp;TEXT(MAX(C9:I9),"DD/MM"))</f>
        <v>du 01/04 au 04/04</v>
      </c>
      <c r="C9" s="16" t="str">
        <f aca="false">IF(OR($L$6+0&lt;$L$4,$L$6+0&gt;$L$5),"",$L$6+0)</f>
        <v/>
      </c>
      <c r="D9" s="16" t="str">
        <f aca="false">IF(OR($L$6+1&lt;$L$4,$L$6+1&gt;$L$5),"",$L$6+1)</f>
        <v/>
      </c>
      <c r="E9" s="16" t="str">
        <f aca="false">IF(OR($L$6+2&lt;$L$4,$L$6+2&gt;$L$5),"",$L$6+2)</f>
        <v/>
      </c>
      <c r="F9" s="16" t="n">
        <f aca="false">IF(OR($L$6+3&lt;$L$4,$L$6+3&gt;$L$5),"",$L$6+3)</f>
        <v>46478</v>
      </c>
      <c r="G9" s="16" t="n">
        <f aca="false">IF(OR($L$6+4&lt;$L$4,$L$6+4&gt;$L$5),"",$L$6+4)</f>
        <v>46479</v>
      </c>
      <c r="H9" s="16" t="n">
        <f aca="false">IF(OR($L$6+5&lt;$L$4,$L$6+5&gt;$L$5),"",$L$6+5)</f>
        <v>46480</v>
      </c>
      <c r="I9" s="16" t="n">
        <f aca="false">IF(OR($L$6+6&lt;$L$4,$L$6+6&gt;$L$5),"",$L$6+6)</f>
        <v>46481</v>
      </c>
      <c r="K9" s="7" t="s">
        <v>23</v>
      </c>
      <c r="L9" s="14" t="n">
        <f aca="false">IFERROR(INDEX($G$25:$G$36,MATCH($C$5,$B$25:$B$36,0)),"")</f>
        <v>13</v>
      </c>
    </row>
    <row r="10" customFormat="false" ht="21.75" hidden="false" customHeight="true" outlineLevel="0" collapsed="false">
      <c r="B10" s="12" t="s">
        <v>24</v>
      </c>
      <c r="C10" s="13" t="str">
        <f aca="false">IF(C11="","",IFERROR(IF(INDEX($D$43:$J$54,MATCH($C$5,$B$43:$B$54,0),1)=1,INDEX($C$43:$C$54,MATCH($C$5,$B$43:$B$54,0)),""),""))</f>
        <v>A320</v>
      </c>
      <c r="D10" s="13" t="str">
        <f aca="false">IF(D11="","",IFERROR(IF(INDEX($D$43:$J$54,MATCH($C$5,$B$43:$B$54,0),2)=1,INDEX($C$43:$C$54,MATCH($C$5,$B$43:$B$54,0)),""),""))</f>
        <v/>
      </c>
      <c r="E10" s="13" t="str">
        <f aca="false">IF(E11="","",IFERROR(IF(INDEX($D$43:$J$54,MATCH($C$5,$B$43:$B$54,0),3)=1,INDEX($C$43:$C$54,MATCH($C$5,$B$43:$B$54,0)),""),""))</f>
        <v/>
      </c>
      <c r="F10" s="13" t="str">
        <f aca="false">IF(F11="","",IFERROR(IF(INDEX($D$43:$J$54,MATCH($C$5,$B$43:$B$54,0),4)=1,INDEX($C$43:$C$54,MATCH($C$5,$B$43:$B$54,0)),""),""))</f>
        <v>A320</v>
      </c>
      <c r="G10" s="13" t="str">
        <f aca="false">IF(G11="","",IFERROR(IF(INDEX($D$43:$J$54,MATCH($C$5,$B$43:$B$54,0),5)=1,INDEX($C$43:$C$54,MATCH($C$5,$B$43:$B$54,0)),""),""))</f>
        <v/>
      </c>
      <c r="H10" s="13" t="str">
        <f aca="false">IF(H11="","",IFERROR(IF(INDEX($D$43:$J$54,MATCH($C$5,$B$43:$B$54,0),6)=1,INDEX($C$43:$C$54,MATCH($C$5,$B$43:$B$54,0)),""),""))</f>
        <v>A320</v>
      </c>
      <c r="I10" s="13" t="str">
        <f aca="false">IF(I11="","",IFERROR(IF(INDEX($D$43:$J$54,MATCH($C$5,$B$43:$B$54,0),7)=1,INDEX($C$43:$C$54,MATCH($C$5,$B$43:$B$54,0)),""),""))</f>
        <v/>
      </c>
    </row>
    <row r="11" customFormat="false" ht="13.5" hidden="false" customHeight="true" outlineLevel="0" collapsed="false">
      <c r="B11" s="15" t="str">
        <f aca="false">IF(COUNT(C11:I11)=0,"","du "&amp;TEXT(MIN(C11:I11),"DD/MM")&amp;" au "&amp;TEXT(MAX(C11:I11),"DD/MM"))</f>
        <v>du 05/04 au 11/04</v>
      </c>
      <c r="C11" s="16" t="n">
        <f aca="false">IF(OR($L$6+7&lt;$L$4,$L$6+7&gt;$L$5),"",$L$6+7)</f>
        <v>46482</v>
      </c>
      <c r="D11" s="16" t="n">
        <f aca="false">IF(OR($L$6+8&lt;$L$4,$L$6+8&gt;$L$5),"",$L$6+8)</f>
        <v>46483</v>
      </c>
      <c r="E11" s="16" t="n">
        <f aca="false">IF(OR($L$6+9&lt;$L$4,$L$6+9&gt;$L$5),"",$L$6+9)</f>
        <v>46484</v>
      </c>
      <c r="F11" s="16" t="n">
        <f aca="false">IF(OR($L$6+10&lt;$L$4,$L$6+10&gt;$L$5),"",$L$6+10)</f>
        <v>46485</v>
      </c>
      <c r="G11" s="16" t="n">
        <f aca="false">IF(OR($L$6+11&lt;$L$4,$L$6+11&gt;$L$5),"",$L$6+11)</f>
        <v>46486</v>
      </c>
      <c r="H11" s="16" t="n">
        <f aca="false">IF(OR($L$6+12&lt;$L$4,$L$6+12&gt;$L$5),"",$L$6+12)</f>
        <v>46487</v>
      </c>
      <c r="I11" s="16" t="n">
        <f aca="false">IF(OR($L$6+13&lt;$L$4,$L$6+13&gt;$L$5),"",$L$6+13)</f>
        <v>46488</v>
      </c>
    </row>
    <row r="12" customFormat="false" ht="21.75" hidden="false" customHeight="true" outlineLevel="0" collapsed="false">
      <c r="B12" s="12" t="s">
        <v>25</v>
      </c>
      <c r="C12" s="13" t="str">
        <f aca="false">IF(C13="","",IFERROR(IF(INDEX($D$43:$J$54,MATCH($C$5,$B$43:$B$54,0),1)=1,INDEX($C$43:$C$54,MATCH($C$5,$B$43:$B$54,0)),""),""))</f>
        <v>A320</v>
      </c>
      <c r="D12" s="13" t="str">
        <f aca="false">IF(D13="","",IFERROR(IF(INDEX($D$43:$J$54,MATCH($C$5,$B$43:$B$54,0),2)=1,INDEX($C$43:$C$54,MATCH($C$5,$B$43:$B$54,0)),""),""))</f>
        <v/>
      </c>
      <c r="E12" s="13" t="str">
        <f aca="false">IF(E13="","",IFERROR(IF(INDEX($D$43:$J$54,MATCH($C$5,$B$43:$B$54,0),3)=1,INDEX($C$43:$C$54,MATCH($C$5,$B$43:$B$54,0)),""),""))</f>
        <v/>
      </c>
      <c r="F12" s="13" t="str">
        <f aca="false">IF(F13="","",IFERROR(IF(INDEX($D$43:$J$54,MATCH($C$5,$B$43:$B$54,0),4)=1,INDEX($C$43:$C$54,MATCH($C$5,$B$43:$B$54,0)),""),""))</f>
        <v>A320</v>
      </c>
      <c r="G12" s="13" t="str">
        <f aca="false">IF(G13="","",IFERROR(IF(INDEX($D$43:$J$54,MATCH($C$5,$B$43:$B$54,0),5)=1,INDEX($C$43:$C$54,MATCH($C$5,$B$43:$B$54,0)),""),""))</f>
        <v/>
      </c>
      <c r="H12" s="13" t="str">
        <f aca="false">IF(H13="","",IFERROR(IF(INDEX($D$43:$J$54,MATCH($C$5,$B$43:$B$54,0),6)=1,INDEX($C$43:$C$54,MATCH($C$5,$B$43:$B$54,0)),""),""))</f>
        <v>A320</v>
      </c>
      <c r="I12" s="13" t="str">
        <f aca="false">IF(I13="","",IFERROR(IF(INDEX($D$43:$J$54,MATCH($C$5,$B$43:$B$54,0),7)=1,INDEX($C$43:$C$54,MATCH($C$5,$B$43:$B$54,0)),""),""))</f>
        <v/>
      </c>
    </row>
    <row r="13" customFormat="false" ht="13.5" hidden="false" customHeight="true" outlineLevel="0" collapsed="false">
      <c r="B13" s="15" t="str">
        <f aca="false">IF(COUNT(C13:I13)=0,"","du "&amp;TEXT(MIN(C13:I13),"DD/MM")&amp;" au "&amp;TEXT(MAX(C13:I13),"DD/MM"))</f>
        <v>du 12/04 au 18/04</v>
      </c>
      <c r="C13" s="16" t="n">
        <f aca="false">IF(OR($L$6+14&lt;$L$4,$L$6+14&gt;$L$5),"",$L$6+14)</f>
        <v>46489</v>
      </c>
      <c r="D13" s="16" t="n">
        <f aca="false">IF(OR($L$6+15&lt;$L$4,$L$6+15&gt;$L$5),"",$L$6+15)</f>
        <v>46490</v>
      </c>
      <c r="E13" s="16" t="n">
        <f aca="false">IF(OR($L$6+16&lt;$L$4,$L$6+16&gt;$L$5),"",$L$6+16)</f>
        <v>46491</v>
      </c>
      <c r="F13" s="16" t="n">
        <f aca="false">IF(OR($L$6+17&lt;$L$4,$L$6+17&gt;$L$5),"",$L$6+17)</f>
        <v>46492</v>
      </c>
      <c r="G13" s="16" t="n">
        <f aca="false">IF(OR($L$6+18&lt;$L$4,$L$6+18&gt;$L$5),"",$L$6+18)</f>
        <v>46493</v>
      </c>
      <c r="H13" s="16" t="n">
        <f aca="false">IF(OR($L$6+19&lt;$L$4,$L$6+19&gt;$L$5),"",$L$6+19)</f>
        <v>46494</v>
      </c>
      <c r="I13" s="16" t="n">
        <f aca="false">IF(OR($L$6+20&lt;$L$4,$L$6+20&gt;$L$5),"",$L$6+20)</f>
        <v>46495</v>
      </c>
    </row>
    <row r="14" customFormat="false" ht="21.75" hidden="false" customHeight="true" outlineLevel="0" collapsed="false">
      <c r="B14" s="12" t="s">
        <v>26</v>
      </c>
      <c r="C14" s="13" t="str">
        <f aca="false">IF(C15="","",IFERROR(IF(INDEX($D$43:$J$54,MATCH($C$5,$B$43:$B$54,0),1)=1,INDEX($C$43:$C$54,MATCH($C$5,$B$43:$B$54,0)),""),""))</f>
        <v>A320</v>
      </c>
      <c r="D14" s="13" t="str">
        <f aca="false">IF(D15="","",IFERROR(IF(INDEX($D$43:$J$54,MATCH($C$5,$B$43:$B$54,0),2)=1,INDEX($C$43:$C$54,MATCH($C$5,$B$43:$B$54,0)),""),""))</f>
        <v/>
      </c>
      <c r="E14" s="13" t="str">
        <f aca="false">IF(E15="","",IFERROR(IF(INDEX($D$43:$J$54,MATCH($C$5,$B$43:$B$54,0),3)=1,INDEX($C$43:$C$54,MATCH($C$5,$B$43:$B$54,0)),""),""))</f>
        <v/>
      </c>
      <c r="F14" s="13" t="str">
        <f aca="false">IF(F15="","",IFERROR(IF(INDEX($D$43:$J$54,MATCH($C$5,$B$43:$B$54,0),4)=1,INDEX($C$43:$C$54,MATCH($C$5,$B$43:$B$54,0)),""),""))</f>
        <v>A320</v>
      </c>
      <c r="G14" s="13" t="str">
        <f aca="false">IF(G15="","",IFERROR(IF(INDEX($D$43:$J$54,MATCH($C$5,$B$43:$B$54,0),5)=1,INDEX($C$43:$C$54,MATCH($C$5,$B$43:$B$54,0)),""),""))</f>
        <v/>
      </c>
      <c r="H14" s="13" t="str">
        <f aca="false">IF(H15="","",IFERROR(IF(INDEX($D$43:$J$54,MATCH($C$5,$B$43:$B$54,0),6)=1,INDEX($C$43:$C$54,MATCH($C$5,$B$43:$B$54,0)),""),""))</f>
        <v>A320</v>
      </c>
      <c r="I14" s="13" t="str">
        <f aca="false">IF(I15="","",IFERROR(IF(INDEX($D$43:$J$54,MATCH($C$5,$B$43:$B$54,0),7)=1,INDEX($C$43:$C$54,MATCH($C$5,$B$43:$B$54,0)),""),""))</f>
        <v/>
      </c>
    </row>
    <row r="15" customFormat="false" ht="13.5" hidden="false" customHeight="true" outlineLevel="0" collapsed="false">
      <c r="B15" s="15" t="str">
        <f aca="false">IF(COUNT(C15:I15)=0,"","du "&amp;TEXT(MIN(C15:I15),"DD/MM")&amp;" au "&amp;TEXT(MAX(C15:I15),"DD/MM"))</f>
        <v>du 19/04 au 25/04</v>
      </c>
      <c r="C15" s="16" t="n">
        <f aca="false">IF(OR($L$6+21&lt;$L$4,$L$6+21&gt;$L$5),"",$L$6+21)</f>
        <v>46496</v>
      </c>
      <c r="D15" s="16" t="n">
        <f aca="false">IF(OR($L$6+22&lt;$L$4,$L$6+22&gt;$L$5),"",$L$6+22)</f>
        <v>46497</v>
      </c>
      <c r="E15" s="16" t="n">
        <f aca="false">IF(OR($L$6+23&lt;$L$4,$L$6+23&gt;$L$5),"",$L$6+23)</f>
        <v>46498</v>
      </c>
      <c r="F15" s="16" t="n">
        <f aca="false">IF(OR($L$6+24&lt;$L$4,$L$6+24&gt;$L$5),"",$L$6+24)</f>
        <v>46499</v>
      </c>
      <c r="G15" s="16" t="n">
        <f aca="false">IF(OR($L$6+25&lt;$L$4,$L$6+25&gt;$L$5),"",$L$6+25)</f>
        <v>46500</v>
      </c>
      <c r="H15" s="16" t="n">
        <f aca="false">IF(OR($L$6+26&lt;$L$4,$L$6+26&gt;$L$5),"",$L$6+26)</f>
        <v>46501</v>
      </c>
      <c r="I15" s="16" t="n">
        <f aca="false">IF(OR($L$6+27&lt;$L$4,$L$6+27&gt;$L$5),"",$L$6+27)</f>
        <v>46502</v>
      </c>
    </row>
    <row r="16" customFormat="false" ht="21.75" hidden="false" customHeight="true" outlineLevel="0" collapsed="false">
      <c r="B16" s="12" t="s">
        <v>27</v>
      </c>
      <c r="C16" s="13" t="str">
        <f aca="false">IF(C17="","",IFERROR(IF(INDEX($D$43:$J$54,MATCH($C$5,$B$43:$B$54,0),1)=1,INDEX($C$43:$C$54,MATCH($C$5,$B$43:$B$54,0)),""),""))</f>
        <v>A320</v>
      </c>
      <c r="D16" s="13" t="str">
        <f aca="false">IF(D17="","",IFERROR(IF(INDEX($D$43:$J$54,MATCH($C$5,$B$43:$B$54,0),2)=1,INDEX($C$43:$C$54,MATCH($C$5,$B$43:$B$54,0)),""),""))</f>
        <v/>
      </c>
      <c r="E16" s="13" t="str">
        <f aca="false">IF(E17="","",IFERROR(IF(INDEX($D$43:$J$54,MATCH($C$5,$B$43:$B$54,0),3)=1,INDEX($C$43:$C$54,MATCH($C$5,$B$43:$B$54,0)),""),""))</f>
        <v/>
      </c>
      <c r="F16" s="13" t="str">
        <f aca="false">IF(F17="","",IFERROR(IF(INDEX($D$43:$J$54,MATCH($C$5,$B$43:$B$54,0),4)=1,INDEX($C$43:$C$54,MATCH($C$5,$B$43:$B$54,0)),""),""))</f>
        <v>A320</v>
      </c>
      <c r="G16" s="13" t="str">
        <f aca="false">IF(G17="","",IFERROR(IF(INDEX($D$43:$J$54,MATCH($C$5,$B$43:$B$54,0),5)=1,INDEX($C$43:$C$54,MATCH($C$5,$B$43:$B$54,0)),""),""))</f>
        <v/>
      </c>
      <c r="H16" s="13" t="str">
        <f aca="false">IF(H17="","",IFERROR(IF(INDEX($D$43:$J$54,MATCH($C$5,$B$43:$B$54,0),6)=1,INDEX($C$43:$C$54,MATCH($C$5,$B$43:$B$54,0)),""),""))</f>
        <v/>
      </c>
      <c r="I16" s="13" t="str">
        <f aca="false">IF(I17="","",IFERROR(IF(INDEX($D$43:$J$54,MATCH($C$5,$B$43:$B$54,0),7)=1,INDEX($C$43:$C$54,MATCH($C$5,$B$43:$B$54,0)),""),""))</f>
        <v/>
      </c>
    </row>
    <row r="17" customFormat="false" ht="13.5" hidden="false" customHeight="true" outlineLevel="0" collapsed="false">
      <c r="B17" s="15" t="str">
        <f aca="false">IF(COUNT(C17:I17)=0,"","du "&amp;TEXT(MIN(C17:I17),"DD/MM")&amp;" au "&amp;TEXT(MAX(C17:I17),"DD/MM"))</f>
        <v>du 26/04 au 30/04</v>
      </c>
      <c r="C17" s="16" t="n">
        <f aca="false">IF(OR($L$6+28&lt;$L$4,$L$6+28&gt;$L$5),"",$L$6+28)</f>
        <v>46503</v>
      </c>
      <c r="D17" s="16" t="n">
        <f aca="false">IF(OR($L$6+29&lt;$L$4,$L$6+29&gt;$L$5),"",$L$6+29)</f>
        <v>46504</v>
      </c>
      <c r="E17" s="16" t="n">
        <f aca="false">IF(OR($L$6+30&lt;$L$4,$L$6+30&gt;$L$5),"",$L$6+30)</f>
        <v>46505</v>
      </c>
      <c r="F17" s="16" t="n">
        <f aca="false">IF(OR($L$6+31&lt;$L$4,$L$6+31&gt;$L$5),"",$L$6+31)</f>
        <v>46506</v>
      </c>
      <c r="G17" s="16" t="n">
        <f aca="false">IF(OR($L$6+32&lt;$L$4,$L$6+32&gt;$L$5),"",$L$6+32)</f>
        <v>46507</v>
      </c>
      <c r="H17" s="16" t="str">
        <f aca="false">IF(OR($L$6+33&lt;$L$4,$L$6+33&gt;$L$5),"",$L$6+33)</f>
        <v/>
      </c>
      <c r="I17" s="16" t="str">
        <f aca="false">IF(OR($L$6+34&lt;$L$4,$L$6+34&gt;$L$5),"",$L$6+34)</f>
        <v/>
      </c>
    </row>
    <row r="18" customFormat="false" ht="21.75" hidden="false" customHeight="true" outlineLevel="0" collapsed="false">
      <c r="B18" s="12" t="s">
        <v>28</v>
      </c>
      <c r="C18" s="13" t="str">
        <f aca="false">IF(C19="","",IFERROR(IF(INDEX($D$43:$J$54,MATCH($C$5,$B$43:$B$54,0),1)=1,INDEX($C$43:$C$54,MATCH($C$5,$B$43:$B$54,0)),""),""))</f>
        <v/>
      </c>
      <c r="D18" s="13" t="str">
        <f aca="false">IF(D19="","",IFERROR(IF(INDEX($D$43:$J$54,MATCH($C$5,$B$43:$B$54,0),2)=1,INDEX($C$43:$C$54,MATCH($C$5,$B$43:$B$54,0)),""),""))</f>
        <v/>
      </c>
      <c r="E18" s="13" t="str">
        <f aca="false">IF(E19="","",IFERROR(IF(INDEX($D$43:$J$54,MATCH($C$5,$B$43:$B$54,0),3)=1,INDEX($C$43:$C$54,MATCH($C$5,$B$43:$B$54,0)),""),""))</f>
        <v/>
      </c>
      <c r="F18" s="13" t="str">
        <f aca="false">IF(F19="","",IFERROR(IF(INDEX($D$43:$J$54,MATCH($C$5,$B$43:$B$54,0),4)=1,INDEX($C$43:$C$54,MATCH($C$5,$B$43:$B$54,0)),""),""))</f>
        <v/>
      </c>
      <c r="G18" s="13" t="str">
        <f aca="false">IF(G19="","",IFERROR(IF(INDEX($D$43:$J$54,MATCH($C$5,$B$43:$B$54,0),5)=1,INDEX($C$43:$C$54,MATCH($C$5,$B$43:$B$54,0)),""),""))</f>
        <v/>
      </c>
      <c r="H18" s="13" t="str">
        <f aca="false">IF(H19="","",IFERROR(IF(INDEX($D$43:$J$54,MATCH($C$5,$B$43:$B$54,0),6)=1,INDEX($C$43:$C$54,MATCH($C$5,$B$43:$B$54,0)),""),""))</f>
        <v/>
      </c>
      <c r="I18" s="13" t="str">
        <f aca="false">IF(I19="","",IFERROR(IF(INDEX($D$43:$J$54,MATCH($C$5,$B$43:$B$54,0),7)=1,INDEX($C$43:$C$54,MATCH($C$5,$B$43:$B$54,0)),""),""))</f>
        <v/>
      </c>
    </row>
    <row r="19" customFormat="false" ht="13.5" hidden="false" customHeight="true" outlineLevel="0" collapsed="false">
      <c r="B19" s="15" t="str">
        <f aca="false">IF(COUNT(C19:I19)=0,"","du "&amp;TEXT(MIN(C19:I19),"DD/MM")&amp;" au "&amp;TEXT(MAX(C19:I19),"DD/MM"))</f>
        <v/>
      </c>
      <c r="C19" s="16" t="str">
        <f aca="false">IF(OR($L$6+35&lt;$L$4,$L$6+35&gt;$L$5),"",$L$6+35)</f>
        <v/>
      </c>
      <c r="D19" s="16" t="str">
        <f aca="false">IF(OR($L$6+36&lt;$L$4,$L$6+36&gt;$L$5),"",$L$6+36)</f>
        <v/>
      </c>
      <c r="E19" s="16" t="str">
        <f aca="false">IF(OR($L$6+37&lt;$L$4,$L$6+37&gt;$L$5),"",$L$6+37)</f>
        <v/>
      </c>
      <c r="F19" s="16" t="str">
        <f aca="false">IF(OR($L$6+38&lt;$L$4,$L$6+38&gt;$L$5),"",$L$6+38)</f>
        <v/>
      </c>
      <c r="G19" s="16" t="str">
        <f aca="false">IF(OR($L$6+39&lt;$L$4,$L$6+39&gt;$L$5),"",$L$6+39)</f>
        <v/>
      </c>
      <c r="H19" s="16" t="str">
        <f aca="false">IF(OR($L$6+40&lt;$L$4,$L$6+40&gt;$L$5),"",$L$6+40)</f>
        <v/>
      </c>
      <c r="I19" s="16" t="str">
        <f aca="false">IF(OR($L$6+41&lt;$L$4,$L$6+41&gt;$L$5),"",$L$6+41)</f>
        <v/>
      </c>
    </row>
    <row r="20" customFormat="false" ht="15" hidden="false" customHeight="false" outlineLevel="0" collapsed="false">
      <c r="B20" s="17" t="s">
        <v>29</v>
      </c>
      <c r="C20" s="18" t="n">
        <f aca="false">COUNT(C9,C11,C13,C15,C17,C19)</f>
        <v>4</v>
      </c>
      <c r="D20" s="18" t="n">
        <f aca="false">COUNT(D9,D11,D13,D15,D17,D19)</f>
        <v>4</v>
      </c>
      <c r="E20" s="18" t="n">
        <f aca="false">COUNT(E9,E11,E13,E15,E17,E19)</f>
        <v>4</v>
      </c>
      <c r="F20" s="18" t="n">
        <f aca="false">COUNT(F9,F11,F13,F15,F17,F19)</f>
        <v>5</v>
      </c>
      <c r="G20" s="18" t="n">
        <f aca="false">COUNT(G9,G11,G13,G15,G17,G19)</f>
        <v>5</v>
      </c>
      <c r="H20" s="18" t="n">
        <f aca="false">COUNT(H9,H11,H13,H15,H17,H19)</f>
        <v>4</v>
      </c>
      <c r="I20" s="18" t="n">
        <f aca="false">COUNT(I9,I11,I13,I15,I17,I19)</f>
        <v>4</v>
      </c>
    </row>
    <row r="21" customFormat="false" ht="15" hidden="false" customHeight="false" outlineLevel="0" collapsed="false">
      <c r="B21" s="17" t="s">
        <v>30</v>
      </c>
      <c r="C21" s="18" t="n">
        <f aca="false">IF(COUNT(C9:I9)&gt;0,1,0)+IF(COUNT(C11:I11)&gt;0,1,0)+IF(COUNT(C13:I13)&gt;0,1,0)+IF(COUNT(C15:I15)&gt;0,1,0)+IF(COUNT(C17:I17)&gt;0,1,0)+IF(COUNT(C19:I19)&gt;0,1,0)</f>
        <v>5</v>
      </c>
      <c r="D21" s="19" t="s">
        <v>31</v>
      </c>
      <c r="E21" s="19"/>
      <c r="F21" s="19"/>
      <c r="G21" s="19"/>
      <c r="H21" s="19"/>
      <c r="I21" s="19"/>
    </row>
    <row r="23" customFormat="false" ht="15" hidden="false" customHeight="false" outlineLevel="0" collapsed="false">
      <c r="B23" s="9" t="s">
        <v>32</v>
      </c>
      <c r="C23" s="9"/>
      <c r="D23" s="9"/>
      <c r="E23" s="9"/>
      <c r="F23" s="9"/>
      <c r="G23" s="9"/>
    </row>
    <row r="24" customFormat="false" ht="31.5" hidden="false" customHeight="true" outlineLevel="0" collapsed="false">
      <c r="B24" s="20" t="s">
        <v>33</v>
      </c>
      <c r="C24" s="20" t="s">
        <v>34</v>
      </c>
      <c r="D24" s="20" t="s">
        <v>35</v>
      </c>
      <c r="E24" s="20" t="s">
        <v>36</v>
      </c>
      <c r="F24" s="20" t="s">
        <v>37</v>
      </c>
      <c r="G24" s="20" t="s">
        <v>38</v>
      </c>
    </row>
    <row r="25" customFormat="false" ht="15" hidden="false" customHeight="false" outlineLevel="0" collapsed="false">
      <c r="B25" s="21" t="str">
        <f aca="false">$B$43</f>
        <v>CDGRUN</v>
      </c>
      <c r="C25" s="22" t="str">
        <f aca="false">$C$43</f>
        <v>77W</v>
      </c>
      <c r="D25" s="22" t="str">
        <f aca="false">IF(SUM($D$43:$J$43)=0,"aucune operation",SUBSTITUTE(TRIM(IF($D$43=1,"J1 ","")&amp;IF($E$43=1,"J2 ","")&amp;IF($F$43=1,"J3 ","")&amp;IF($G$43=1,"J4 ","")&amp;IF($H$43=1,"J5 ","")&amp;IF($I$43=1,"J6 ","")&amp;IF($J$43=1,"J7 ",""))," ",", "))</f>
        <v>J1, J2, J3, J4, J5, J6, J7</v>
      </c>
      <c r="E25" s="23" t="n">
        <f aca="false">SUM($D$43:$J$43)</f>
        <v>7</v>
      </c>
      <c r="F25" s="23" t="n">
        <f aca="false">$C$21</f>
        <v>5</v>
      </c>
      <c r="G25" s="24" t="n">
        <f aca="false">SUMPRODUCT($C$20:$I$20,$D$43:$J$43)</f>
        <v>30</v>
      </c>
    </row>
    <row r="26" customFormat="false" ht="15" hidden="false" customHeight="false" outlineLevel="0" collapsed="false">
      <c r="B26" s="21" t="str">
        <f aca="false">$B$44</f>
        <v>CDGDZA</v>
      </c>
      <c r="C26" s="22" t="str">
        <f aca="false">$C$44</f>
        <v>778</v>
      </c>
      <c r="D26" s="22" t="str">
        <f aca="false">IF(SUM($D$44:$J$44)=0,"aucune operation",SUBSTITUTE(TRIM(IF($D$44=1,"J1 ","")&amp;IF($E$44=1,"J2 ","")&amp;IF($F$44=1,"J3 ","")&amp;IF($G$44=1,"J4 ","")&amp;IF($H$44=1,"J5 ","")&amp;IF($I$44=1,"J6 ","")&amp;IF($J$44=1,"J7 ",""))," ",", "))</f>
        <v>J2, J5, J7</v>
      </c>
      <c r="E26" s="23" t="n">
        <f aca="false">SUM($D$44:$J$44)</f>
        <v>3</v>
      </c>
      <c r="F26" s="23" t="n">
        <f aca="false">$C$21</f>
        <v>5</v>
      </c>
      <c r="G26" s="24" t="n">
        <f aca="false">SUMPRODUCT($C$20:$I$20,$D$44:$J$44)</f>
        <v>13</v>
      </c>
    </row>
    <row r="27" customFormat="false" ht="15" hidden="false" customHeight="false" outlineLevel="0" collapsed="false">
      <c r="B27" s="21" t="str">
        <f aca="false">$B$45</f>
        <v>BKKRUN</v>
      </c>
      <c r="C27" s="22" t="str">
        <f aca="false">$C$45</f>
        <v>778</v>
      </c>
      <c r="D27" s="22" t="str">
        <f aca="false">IF(SUM($D$45:$J$45)=0,"aucune operation",SUBSTITUTE(TRIM(IF($D$45=1,"J1 ","")&amp;IF($E$45=1,"J2 ","")&amp;IF($F$45=1,"J3 ","")&amp;IF($G$45=1,"J4 ","")&amp;IF($H$45=1,"J5 ","")&amp;IF($I$45=1,"J6 ","")&amp;IF($J$45=1,"J7 ",""))," ",", "))</f>
        <v>J3, J6</v>
      </c>
      <c r="E27" s="23" t="n">
        <f aca="false">SUM($D$45:$J$45)</f>
        <v>2</v>
      </c>
      <c r="F27" s="23" t="n">
        <f aca="false">$C$21</f>
        <v>5</v>
      </c>
      <c r="G27" s="24" t="n">
        <f aca="false">SUMPRODUCT($C$20:$I$20,$D$45:$J$45)</f>
        <v>8</v>
      </c>
    </row>
    <row r="28" customFormat="false" ht="15" hidden="false" customHeight="false" outlineLevel="0" collapsed="false">
      <c r="B28" s="21" t="str">
        <f aca="false">$B$46</f>
        <v>DZARUN</v>
      </c>
      <c r="C28" s="22" t="str">
        <f aca="false">$C$46</f>
        <v>A320</v>
      </c>
      <c r="D28" s="22" t="str">
        <f aca="false">IF(SUM($D$46:$J$46)=0,"aucune operation",SUBSTITUTE(TRIM(IF($D$46=1,"J1 ","")&amp;IF($E$46=1,"J2 ","")&amp;IF($F$46=1,"J3 ","")&amp;IF($G$46=1,"J4 ","")&amp;IF($H$46=1,"J5 ","")&amp;IF($I$46=1,"J6 ","")&amp;IF($J$46=1,"J7 ",""))," ",", "))</f>
        <v>J1, J2, J3, J4, J5</v>
      </c>
      <c r="E28" s="23" t="n">
        <f aca="false">SUM($D$46:$J$46)</f>
        <v>5</v>
      </c>
      <c r="F28" s="23" t="n">
        <f aca="false">$C$21</f>
        <v>5</v>
      </c>
      <c r="G28" s="24" t="n">
        <f aca="false">SUMPRODUCT($C$20:$I$20,$D$46:$J$46)</f>
        <v>22</v>
      </c>
    </row>
    <row r="29" customFormat="false" ht="15" hidden="false" customHeight="false" outlineLevel="0" collapsed="false">
      <c r="B29" s="21" t="str">
        <f aca="false">$B$47</f>
        <v>MRURUN</v>
      </c>
      <c r="C29" s="22" t="str">
        <f aca="false">$C$47</f>
        <v>A320</v>
      </c>
      <c r="D29" s="22" t="str">
        <f aca="false">IF(SUM($D$47:$J$47)=0,"aucune operation",SUBSTITUTE(TRIM(IF($D$47=1,"J1 ","")&amp;IF($E$47=1,"J2 ","")&amp;IF($F$47=1,"J3 ","")&amp;IF($G$47=1,"J4 ","")&amp;IF($H$47=1,"J5 ","")&amp;IF($I$47=1,"J6 ","")&amp;IF($J$47=1,"J7 ",""))," ",", "))</f>
        <v>J1, J3, J5, J7</v>
      </c>
      <c r="E29" s="23" t="n">
        <f aca="false">SUM($D$47:$J$47)</f>
        <v>4</v>
      </c>
      <c r="F29" s="23" t="n">
        <f aca="false">$C$21</f>
        <v>5</v>
      </c>
      <c r="G29" s="24" t="n">
        <f aca="false">SUMPRODUCT($C$20:$I$20,$D$47:$J$47)</f>
        <v>17</v>
      </c>
    </row>
    <row r="30" customFormat="false" ht="15" hidden="false" customHeight="false" outlineLevel="0" collapsed="false">
      <c r="B30" s="21" t="str">
        <f aca="false">$B$48</f>
        <v>NOSRUN</v>
      </c>
      <c r="C30" s="22" t="str">
        <f aca="false">$C$48</f>
        <v>A320</v>
      </c>
      <c r="D30" s="22" t="str">
        <f aca="false">IF(SUM($D$48:$J$48)=0,"aucune operation",SUBSTITUTE(TRIM(IF($D$48=1,"J1 ","")&amp;IF($E$48=1,"J2 ","")&amp;IF($F$48=1,"J3 ","")&amp;IF($G$48=1,"J4 ","")&amp;IF($H$48=1,"J5 ","")&amp;IF($I$48=1,"J6 ","")&amp;IF($J$48=1,"J7 ",""))," ",", "))</f>
        <v>J1, J4, J6</v>
      </c>
      <c r="E30" s="23" t="n">
        <f aca="false">SUM($D$48:$J$48)</f>
        <v>3</v>
      </c>
      <c r="F30" s="23" t="n">
        <f aca="false">$C$21</f>
        <v>5</v>
      </c>
      <c r="G30" s="24" t="n">
        <f aca="false">SUMPRODUCT($C$20:$I$20,$D$48:$J$48)</f>
        <v>13</v>
      </c>
    </row>
    <row r="31" customFormat="false" ht="15" hidden="false" customHeight="false" outlineLevel="0" collapsed="false">
      <c r="B31" s="21" t="str">
        <f aca="false">$B$49</f>
        <v>RUNTNR</v>
      </c>
      <c r="C31" s="22" t="str">
        <f aca="false">$C$49</f>
        <v>A320</v>
      </c>
      <c r="D31" s="22" t="str">
        <f aca="false">IF(SUM($D$49:$J$49)=0,"aucune operation",SUBSTITUTE(TRIM(IF($D$49=1,"J1 ","")&amp;IF($E$49=1,"J2 ","")&amp;IF($F$49=1,"J3 ","")&amp;IF($G$49=1,"J4 ","")&amp;IF($H$49=1,"J5 ","")&amp;IF($I$49=1,"J6 ","")&amp;IF($J$49=1,"J7 ",""))," ",", "))</f>
        <v>J2, J4, J6</v>
      </c>
      <c r="E31" s="23" t="n">
        <f aca="false">SUM($D$49:$J$49)</f>
        <v>3</v>
      </c>
      <c r="F31" s="23" t="n">
        <f aca="false">$C$21</f>
        <v>5</v>
      </c>
      <c r="G31" s="24" t="n">
        <f aca="false">SUMPRODUCT($C$20:$I$20,$D$49:$J$49)</f>
        <v>13</v>
      </c>
    </row>
    <row r="32" customFormat="false" ht="15" hidden="false" customHeight="false" outlineLevel="0" collapsed="false">
      <c r="B32" s="21" t="str">
        <f aca="false">$B$50</f>
        <v>JNBRUN</v>
      </c>
      <c r="C32" s="22" t="str">
        <f aca="false">$C$50</f>
        <v>778</v>
      </c>
      <c r="D32" s="22" t="str">
        <f aca="false">IF(SUM($D$50:$J$50)=0,"aucune operation",SUBSTITUTE(TRIM(IF($D$50=1,"J1 ","")&amp;IF($E$50=1,"J2 ","")&amp;IF($F$50=1,"J3 ","")&amp;IF($G$50=1,"J4 ","")&amp;IF($H$50=1,"J5 ","")&amp;IF($I$50=1,"J6 ","")&amp;IF($J$50=1,"J7 ",""))," ",", "))</f>
        <v>J1, J5</v>
      </c>
      <c r="E32" s="23" t="n">
        <f aca="false">SUM($D$50:$J$50)</f>
        <v>2</v>
      </c>
      <c r="F32" s="23" t="n">
        <f aca="false">$C$21</f>
        <v>5</v>
      </c>
      <c r="G32" s="24" t="n">
        <f aca="false">SUMPRODUCT($C$20:$I$20,$D$50:$J$50)</f>
        <v>9</v>
      </c>
    </row>
    <row r="33" customFormat="false" ht="15" hidden="false" customHeight="false" outlineLevel="0" collapsed="false">
      <c r="B33" s="21" t="str">
        <f aca="false">$B$51</f>
        <v>CPTRUN</v>
      </c>
      <c r="C33" s="22" t="str">
        <f aca="false">$C$51</f>
        <v>778</v>
      </c>
      <c r="D33" s="22" t="str">
        <f aca="false">IF(SUM($D$51:$J$51)=0,"aucune operation",SUBSTITUTE(TRIM(IF($D$51=1,"J1 ","")&amp;IF($E$51=1,"J2 ","")&amp;IF($F$51=1,"J3 ","")&amp;IF($G$51=1,"J4 ","")&amp;IF($H$51=1,"J5 ","")&amp;IF($I$51=1,"J6 ","")&amp;IF($J$51=1,"J7 ",""))," ",", "))</f>
        <v>J4</v>
      </c>
      <c r="E33" s="23" t="n">
        <f aca="false">SUM($D$51:$J$51)</f>
        <v>1</v>
      </c>
      <c r="F33" s="23" t="n">
        <f aca="false">$C$21</f>
        <v>5</v>
      </c>
      <c r="G33" s="24" t="n">
        <f aca="false">SUMPRODUCT($C$20:$I$20,$D$51:$J$51)</f>
        <v>5</v>
      </c>
    </row>
    <row r="34" customFormat="false" ht="15" hidden="false" customHeight="false" outlineLevel="0" collapsed="false">
      <c r="B34" s="21" t="str">
        <f aca="false">$B$52</f>
        <v>DIERUN</v>
      </c>
      <c r="C34" s="22" t="str">
        <f aca="false">$C$52</f>
        <v>A320</v>
      </c>
      <c r="D34" s="22" t="str">
        <f aca="false">IF(SUM($D$52:$J$52)=0,"aucune operation",SUBSTITUTE(TRIM(IF($D$52=1,"J1 ","")&amp;IF($E$52=1,"J2 ","")&amp;IF($F$52=1,"J3 ","")&amp;IF($G$52=1,"J4 ","")&amp;IF($H$52=1,"J5 ","")&amp;IF($I$52=1,"J6 ","")&amp;IF($J$52=1,"J7 ",""))," ",", "))</f>
        <v>J2, J6</v>
      </c>
      <c r="E34" s="23" t="n">
        <f aca="false">SUM($D$52:$J$52)</f>
        <v>2</v>
      </c>
      <c r="F34" s="23" t="n">
        <f aca="false">$C$21</f>
        <v>5</v>
      </c>
      <c r="G34" s="24" t="n">
        <f aca="false">SUMPRODUCT($C$20:$I$20,$D$52:$J$52)</f>
        <v>8</v>
      </c>
    </row>
    <row r="35" customFormat="false" ht="15" hidden="false" customHeight="false" outlineLevel="0" collapsed="false">
      <c r="B35" s="21" t="str">
        <f aca="false">$B$53</f>
        <v>RRGRUN</v>
      </c>
      <c r="C35" s="22" t="str">
        <f aca="false">$C$53</f>
        <v>A320</v>
      </c>
      <c r="D35" s="22" t="str">
        <f aca="false">IF(SUM($D$53:$J$53)=0,"aucune operation",SUBSTITUTE(TRIM(IF($D$53=1,"J1 ","")&amp;IF($E$53=1,"J2 ","")&amp;IF($F$53=1,"J3 ","")&amp;IF($G$53=1,"J4 ","")&amp;IF($H$53=1,"J5 ","")&amp;IF($I$53=1,"J6 ","")&amp;IF($J$53=1,"J7 ",""))," ",", "))</f>
        <v>J1, J2, J3, J4, J5, J6</v>
      </c>
      <c r="E35" s="23" t="n">
        <f aca="false">SUM($D$53:$J$53)</f>
        <v>6</v>
      </c>
      <c r="F35" s="23" t="n">
        <f aca="false">$C$21</f>
        <v>5</v>
      </c>
      <c r="G35" s="24" t="n">
        <f aca="false">SUMPRODUCT($C$20:$I$20,$D$53:$J$53)</f>
        <v>26</v>
      </c>
    </row>
    <row r="36" customFormat="false" ht="15" hidden="false" customHeight="false" outlineLevel="0" collapsed="false">
      <c r="B36" s="21" t="str">
        <f aca="false">$B$54</f>
        <v>TMMRUN</v>
      </c>
      <c r="C36" s="22" t="str">
        <f aca="false">$C$54</f>
        <v>A320</v>
      </c>
      <c r="D36" s="22" t="str">
        <f aca="false">IF(SUM($D$54:$J$54)=0,"aucune operation",SUBSTITUTE(TRIM(IF($D$54=1,"J1 ","")&amp;IF($E$54=1,"J2 ","")&amp;IF($F$54=1,"J3 ","")&amp;IF($G$54=1,"J4 ","")&amp;IF($H$54=1,"J5 ","")&amp;IF($I$54=1,"J6 ","")&amp;IF($J$54=1,"J7 ",""))," ",", "))</f>
        <v>J3, J7</v>
      </c>
      <c r="E36" s="23" t="n">
        <f aca="false">SUM($D$54:$J$54)</f>
        <v>2</v>
      </c>
      <c r="F36" s="23" t="n">
        <f aca="false">$C$21</f>
        <v>5</v>
      </c>
      <c r="G36" s="24" t="n">
        <f aca="false">SUMPRODUCT($C$20:$I$20,$D$54:$J$54)</f>
        <v>8</v>
      </c>
    </row>
    <row r="37" customFormat="false" ht="15" hidden="false" customHeight="false" outlineLevel="0" collapsed="false">
      <c r="B37" s="25" t="s">
        <v>39</v>
      </c>
      <c r="C37" s="26"/>
      <c r="D37" s="26"/>
      <c r="E37" s="27" t="n">
        <f aca="false">SUM(E25:E36)</f>
        <v>40</v>
      </c>
      <c r="F37" s="27" t="n">
        <f aca="false">$C$21</f>
        <v>5</v>
      </c>
      <c r="G37" s="28" t="n">
        <f aca="false">SUM(G25:G36)</f>
        <v>172</v>
      </c>
    </row>
    <row r="38" customFormat="false" ht="25.5" hidden="false" customHeight="true" outlineLevel="0" collapsed="false">
      <c r="B38" s="29" t="s">
        <v>40</v>
      </c>
      <c r="C38" s="29"/>
      <c r="D38" s="29"/>
      <c r="E38" s="29"/>
      <c r="F38" s="29"/>
      <c r="G38" s="29"/>
    </row>
    <row r="40" customFormat="false" ht="15" hidden="false" customHeight="false" outlineLevel="0" collapsed="false">
      <c r="B40" s="30" t="s">
        <v>41</v>
      </c>
      <c r="C40" s="30"/>
      <c r="D40" s="30"/>
      <c r="E40" s="30"/>
      <c r="F40" s="30"/>
      <c r="G40" s="30"/>
      <c r="H40" s="30"/>
      <c r="I40" s="30"/>
      <c r="J40" s="30"/>
      <c r="K40" s="30"/>
      <c r="L40" s="30"/>
      <c r="M40" s="30"/>
      <c r="N40" s="30"/>
      <c r="O40" s="30"/>
      <c r="P40" s="30"/>
    </row>
    <row r="41" customFormat="false" ht="24" hidden="false" customHeight="true" outlineLevel="0" collapsed="false">
      <c r="B41" s="31" t="s">
        <v>42</v>
      </c>
      <c r="C41" s="31"/>
      <c r="D41" s="31"/>
      <c r="E41" s="31"/>
      <c r="F41" s="31"/>
      <c r="G41" s="31"/>
      <c r="H41" s="31"/>
      <c r="I41" s="31"/>
      <c r="J41" s="31"/>
      <c r="K41" s="31"/>
      <c r="L41" s="31"/>
      <c r="M41" s="31"/>
      <c r="N41" s="31"/>
      <c r="O41" s="31"/>
      <c r="P41" s="31"/>
    </row>
    <row r="42" customFormat="false" ht="15" hidden="false" customHeight="false" outlineLevel="0" collapsed="false">
      <c r="B42" s="32" t="s">
        <v>33</v>
      </c>
      <c r="C42" s="32" t="s">
        <v>34</v>
      </c>
      <c r="D42" s="32" t="s">
        <v>43</v>
      </c>
      <c r="E42" s="32" t="s">
        <v>44</v>
      </c>
      <c r="F42" s="32" t="s">
        <v>45</v>
      </c>
      <c r="G42" s="32" t="s">
        <v>46</v>
      </c>
      <c r="H42" s="32" t="s">
        <v>47</v>
      </c>
      <c r="I42" s="32" t="s">
        <v>48</v>
      </c>
      <c r="J42" s="32" t="s">
        <v>49</v>
      </c>
      <c r="K42" s="32" t="s">
        <v>50</v>
      </c>
      <c r="L42" s="32" t="s">
        <v>51</v>
      </c>
      <c r="N42" s="33" t="s">
        <v>52</v>
      </c>
      <c r="O42" s="33" t="s">
        <v>53</v>
      </c>
      <c r="P42" s="33" t="s">
        <v>54</v>
      </c>
    </row>
    <row r="43" customFormat="false" ht="15" hidden="false" customHeight="false" outlineLevel="0" collapsed="false">
      <c r="B43" s="34" t="s">
        <v>55</v>
      </c>
      <c r="C43" s="35" t="s">
        <v>56</v>
      </c>
      <c r="D43" s="35" t="n">
        <v>1</v>
      </c>
      <c r="E43" s="35" t="n">
        <v>1</v>
      </c>
      <c r="F43" s="35" t="n">
        <v>1</v>
      </c>
      <c r="G43" s="35" t="n">
        <v>1</v>
      </c>
      <c r="H43" s="35" t="n">
        <v>1</v>
      </c>
      <c r="I43" s="35" t="n">
        <v>1</v>
      </c>
      <c r="J43" s="35" t="n">
        <v>1</v>
      </c>
      <c r="K43" s="21" t="str">
        <f aca="false">SUM(D43:J43)&amp;"/7"</f>
        <v>7/7</v>
      </c>
      <c r="L43" s="36"/>
      <c r="N43" s="37" t="s">
        <v>4</v>
      </c>
      <c r="O43" s="38" t="n">
        <f aca="false">DATE(2027,4,1)</f>
        <v>46478</v>
      </c>
      <c r="P43" s="39" t="s">
        <v>56</v>
      </c>
    </row>
    <row r="44" customFormat="false" ht="15" hidden="false" customHeight="false" outlineLevel="0" collapsed="false">
      <c r="B44" s="34" t="s">
        <v>57</v>
      </c>
      <c r="C44" s="35" t="s">
        <v>58</v>
      </c>
      <c r="D44" s="35" t="n">
        <v>0</v>
      </c>
      <c r="E44" s="35" t="n">
        <v>1</v>
      </c>
      <c r="F44" s="35" t="n">
        <v>0</v>
      </c>
      <c r="G44" s="35" t="n">
        <v>0</v>
      </c>
      <c r="H44" s="35" t="n">
        <v>1</v>
      </c>
      <c r="I44" s="35" t="n">
        <v>0</v>
      </c>
      <c r="J44" s="35" t="n">
        <v>1</v>
      </c>
      <c r="K44" s="21" t="str">
        <f aca="false">SUM(D44:J44)&amp;"/7"</f>
        <v>3/7</v>
      </c>
      <c r="L44" s="40"/>
      <c r="N44" s="37" t="s">
        <v>59</v>
      </c>
      <c r="O44" s="38" t="n">
        <f aca="false">DATE(2027,5,1)</f>
        <v>46508</v>
      </c>
      <c r="P44" s="39" t="s">
        <v>58</v>
      </c>
    </row>
    <row r="45" customFormat="false" ht="15" hidden="false" customHeight="false" outlineLevel="0" collapsed="false">
      <c r="B45" s="34" t="s">
        <v>60</v>
      </c>
      <c r="C45" s="35" t="s">
        <v>58</v>
      </c>
      <c r="D45" s="35" t="n">
        <v>0</v>
      </c>
      <c r="E45" s="35" t="n">
        <v>0</v>
      </c>
      <c r="F45" s="35" t="n">
        <v>1</v>
      </c>
      <c r="G45" s="35" t="n">
        <v>0</v>
      </c>
      <c r="H45" s="35" t="n">
        <v>0</v>
      </c>
      <c r="I45" s="35" t="n">
        <v>1</v>
      </c>
      <c r="J45" s="35" t="n">
        <v>0</v>
      </c>
      <c r="K45" s="21" t="str">
        <f aca="false">SUM(D45:J45)&amp;"/7"</f>
        <v>2/7</v>
      </c>
      <c r="L45" s="41"/>
      <c r="N45" s="37" t="s">
        <v>61</v>
      </c>
      <c r="O45" s="38" t="n">
        <f aca="false">DATE(2027,6,1)</f>
        <v>46539</v>
      </c>
      <c r="P45" s="39" t="s">
        <v>62</v>
      </c>
    </row>
    <row r="46" customFormat="false" ht="15" hidden="false" customHeight="false" outlineLevel="0" collapsed="false">
      <c r="B46" s="34" t="s">
        <v>63</v>
      </c>
      <c r="C46" s="35" t="s">
        <v>62</v>
      </c>
      <c r="D46" s="35" t="n">
        <v>1</v>
      </c>
      <c r="E46" s="35" t="n">
        <v>1</v>
      </c>
      <c r="F46" s="35" t="n">
        <v>1</v>
      </c>
      <c r="G46" s="35" t="n">
        <v>1</v>
      </c>
      <c r="H46" s="35" t="n">
        <v>1</v>
      </c>
      <c r="I46" s="35" t="n">
        <v>0</v>
      </c>
      <c r="J46" s="35" t="n">
        <v>0</v>
      </c>
      <c r="K46" s="21" t="str">
        <f aca="false">SUM(D46:J46)&amp;"/7"</f>
        <v>5/7</v>
      </c>
      <c r="L46" s="42"/>
      <c r="N46" s="37" t="s">
        <v>64</v>
      </c>
      <c r="O46" s="38" t="n">
        <f aca="false">DATE(2027,7,1)</f>
        <v>46569</v>
      </c>
    </row>
    <row r="47" customFormat="false" ht="15" hidden="false" customHeight="false" outlineLevel="0" collapsed="false">
      <c r="B47" s="34" t="s">
        <v>65</v>
      </c>
      <c r="C47" s="35" t="s">
        <v>62</v>
      </c>
      <c r="D47" s="35" t="n">
        <v>1</v>
      </c>
      <c r="E47" s="35" t="n">
        <v>0</v>
      </c>
      <c r="F47" s="35" t="n">
        <v>1</v>
      </c>
      <c r="G47" s="35" t="n">
        <v>0</v>
      </c>
      <c r="H47" s="35" t="n">
        <v>1</v>
      </c>
      <c r="I47" s="35" t="n">
        <v>0</v>
      </c>
      <c r="J47" s="35" t="n">
        <v>1</v>
      </c>
      <c r="K47" s="21" t="str">
        <f aca="false">SUM(D47:J47)&amp;"/7"</f>
        <v>4/7</v>
      </c>
      <c r="L47" s="43"/>
      <c r="N47" s="37" t="s">
        <v>66</v>
      </c>
      <c r="O47" s="38" t="n">
        <f aca="false">DATE(2027,8,1)</f>
        <v>46600</v>
      </c>
    </row>
    <row r="48" customFormat="false" ht="15" hidden="false" customHeight="false" outlineLevel="0" collapsed="false">
      <c r="B48" s="34" t="s">
        <v>8</v>
      </c>
      <c r="C48" s="35" t="s">
        <v>62</v>
      </c>
      <c r="D48" s="35" t="n">
        <v>1</v>
      </c>
      <c r="E48" s="35" t="n">
        <v>0</v>
      </c>
      <c r="F48" s="35" t="n">
        <v>0</v>
      </c>
      <c r="G48" s="35" t="n">
        <v>1</v>
      </c>
      <c r="H48" s="35" t="n">
        <v>0</v>
      </c>
      <c r="I48" s="35" t="n">
        <v>1</v>
      </c>
      <c r="J48" s="35" t="n">
        <v>0</v>
      </c>
      <c r="K48" s="21" t="str">
        <f aca="false">SUM(D48:J48)&amp;"/7"</f>
        <v>3/7</v>
      </c>
      <c r="L48" s="44"/>
      <c r="N48" s="37" t="s">
        <v>67</v>
      </c>
      <c r="O48" s="38" t="n">
        <f aca="false">DATE(2027,9,1)</f>
        <v>46631</v>
      </c>
    </row>
    <row r="49" customFormat="false" ht="15" hidden="false" customHeight="false" outlineLevel="0" collapsed="false">
      <c r="B49" s="34" t="s">
        <v>68</v>
      </c>
      <c r="C49" s="35" t="s">
        <v>62</v>
      </c>
      <c r="D49" s="35" t="n">
        <v>0</v>
      </c>
      <c r="E49" s="35" t="n">
        <v>1</v>
      </c>
      <c r="F49" s="35" t="n">
        <v>0</v>
      </c>
      <c r="G49" s="35" t="n">
        <v>1</v>
      </c>
      <c r="H49" s="35" t="n">
        <v>0</v>
      </c>
      <c r="I49" s="35" t="n">
        <v>1</v>
      </c>
      <c r="J49" s="35" t="n">
        <v>0</v>
      </c>
      <c r="K49" s="21" t="str">
        <f aca="false">SUM(D49:J49)&amp;"/7"</f>
        <v>3/7</v>
      </c>
      <c r="L49" s="45"/>
      <c r="N49" s="37" t="s">
        <v>69</v>
      </c>
      <c r="O49" s="38" t="n">
        <f aca="false">DATE(2027,10,1)</f>
        <v>46661</v>
      </c>
    </row>
    <row r="50" customFormat="false" ht="15" hidden="false" customHeight="false" outlineLevel="0" collapsed="false">
      <c r="B50" s="34" t="s">
        <v>70</v>
      </c>
      <c r="C50" s="35" t="s">
        <v>58</v>
      </c>
      <c r="D50" s="35" t="n">
        <v>1</v>
      </c>
      <c r="E50" s="35" t="n">
        <v>0</v>
      </c>
      <c r="F50" s="35" t="n">
        <v>0</v>
      </c>
      <c r="G50" s="35" t="n">
        <v>0</v>
      </c>
      <c r="H50" s="35" t="n">
        <v>1</v>
      </c>
      <c r="I50" s="35" t="n">
        <v>0</v>
      </c>
      <c r="J50" s="35" t="n">
        <v>0</v>
      </c>
      <c r="K50" s="21" t="str">
        <f aca="false">SUM(D50:J50)&amp;"/7"</f>
        <v>2/7</v>
      </c>
      <c r="L50" s="46"/>
      <c r="N50" s="37" t="s">
        <v>71</v>
      </c>
      <c r="O50" s="38" t="n">
        <f aca="false">DATE(2027,11,1)</f>
        <v>46692</v>
      </c>
    </row>
    <row r="51" customFormat="false" ht="15" hidden="false" customHeight="false" outlineLevel="0" collapsed="false">
      <c r="B51" s="34" t="s">
        <v>72</v>
      </c>
      <c r="C51" s="35" t="s">
        <v>58</v>
      </c>
      <c r="D51" s="35" t="n">
        <v>0</v>
      </c>
      <c r="E51" s="35" t="n">
        <v>0</v>
      </c>
      <c r="F51" s="35" t="n">
        <v>0</v>
      </c>
      <c r="G51" s="35" t="n">
        <v>1</v>
      </c>
      <c r="H51" s="35" t="n">
        <v>0</v>
      </c>
      <c r="I51" s="35" t="n">
        <v>0</v>
      </c>
      <c r="J51" s="35" t="n">
        <v>0</v>
      </c>
      <c r="K51" s="21" t="str">
        <f aca="false">SUM(D51:J51)&amp;"/7"</f>
        <v>1/7</v>
      </c>
      <c r="L51" s="47"/>
      <c r="N51" s="37" t="s">
        <v>73</v>
      </c>
      <c r="O51" s="38" t="n">
        <f aca="false">DATE(2027,12,1)</f>
        <v>46722</v>
      </c>
    </row>
    <row r="52" customFormat="false" ht="15" hidden="false" customHeight="false" outlineLevel="0" collapsed="false">
      <c r="B52" s="34" t="s">
        <v>74</v>
      </c>
      <c r="C52" s="35" t="s">
        <v>62</v>
      </c>
      <c r="D52" s="35" t="n">
        <v>0</v>
      </c>
      <c r="E52" s="35" t="n">
        <v>1</v>
      </c>
      <c r="F52" s="35" t="n">
        <v>0</v>
      </c>
      <c r="G52" s="35" t="n">
        <v>0</v>
      </c>
      <c r="H52" s="35" t="n">
        <v>0</v>
      </c>
      <c r="I52" s="35" t="n">
        <v>1</v>
      </c>
      <c r="J52" s="35" t="n">
        <v>0</v>
      </c>
      <c r="K52" s="21" t="str">
        <f aca="false">SUM(D52:J52)&amp;"/7"</f>
        <v>2/7</v>
      </c>
      <c r="L52" s="48"/>
      <c r="N52" s="37" t="s">
        <v>75</v>
      </c>
      <c r="O52" s="38" t="n">
        <f aca="false">DATE(2028,1,1)</f>
        <v>46753</v>
      </c>
    </row>
    <row r="53" customFormat="false" ht="15" hidden="false" customHeight="false" outlineLevel="0" collapsed="false">
      <c r="B53" s="34" t="s">
        <v>76</v>
      </c>
      <c r="C53" s="35" t="s">
        <v>62</v>
      </c>
      <c r="D53" s="35" t="n">
        <v>1</v>
      </c>
      <c r="E53" s="35" t="n">
        <v>1</v>
      </c>
      <c r="F53" s="35" t="n">
        <v>1</v>
      </c>
      <c r="G53" s="35" t="n">
        <v>1</v>
      </c>
      <c r="H53" s="35" t="n">
        <v>1</v>
      </c>
      <c r="I53" s="35" t="n">
        <v>1</v>
      </c>
      <c r="J53" s="35" t="n">
        <v>0</v>
      </c>
      <c r="K53" s="21" t="str">
        <f aca="false">SUM(D53:J53)&amp;"/7"</f>
        <v>6/7</v>
      </c>
      <c r="L53" s="49"/>
      <c r="N53" s="37" t="s">
        <v>77</v>
      </c>
      <c r="O53" s="38" t="n">
        <f aca="false">DATE(2028,2,1)</f>
        <v>46784</v>
      </c>
    </row>
    <row r="54" customFormat="false" ht="15" hidden="false" customHeight="false" outlineLevel="0" collapsed="false">
      <c r="B54" s="34" t="s">
        <v>78</v>
      </c>
      <c r="C54" s="35" t="s">
        <v>62</v>
      </c>
      <c r="D54" s="35" t="n">
        <v>0</v>
      </c>
      <c r="E54" s="35" t="n">
        <v>0</v>
      </c>
      <c r="F54" s="35" t="n">
        <v>1</v>
      </c>
      <c r="G54" s="35" t="n">
        <v>0</v>
      </c>
      <c r="H54" s="35" t="n">
        <v>0</v>
      </c>
      <c r="I54" s="35" t="n">
        <v>0</v>
      </c>
      <c r="J54" s="35" t="n">
        <v>1</v>
      </c>
      <c r="K54" s="21" t="str">
        <f aca="false">SUM(D54:J54)&amp;"/7"</f>
        <v>2/7</v>
      </c>
      <c r="L54" s="50"/>
      <c r="N54" s="37" t="s">
        <v>79</v>
      </c>
      <c r="O54" s="38" t="n">
        <f aca="false">DATE(2028,3,1)</f>
        <v>46813</v>
      </c>
    </row>
  </sheetData>
  <mergeCells count="11">
    <mergeCell ref="B1:I1"/>
    <mergeCell ref="B2:I2"/>
    <mergeCell ref="K3:L3"/>
    <mergeCell ref="C4:D4"/>
    <mergeCell ref="C5:D5"/>
    <mergeCell ref="B6:I6"/>
    <mergeCell ref="D21:I21"/>
    <mergeCell ref="B23:G23"/>
    <mergeCell ref="B38:G38"/>
    <mergeCell ref="B40:P40"/>
    <mergeCell ref="B41:P41"/>
  </mergeCells>
  <conditionalFormatting sqref="C8:I8 C10:I10 C12:I12 C14:I14 C16:I16 C18:I18">
    <cfRule type="expression" priority="2" aboveAverage="0" equalAverage="0" bottom="0" percent="0" rank="0" text="" dxfId="0">
      <formula>AND($C$5="CDGRUN",C8&lt;&gt;"")</formula>
    </cfRule>
    <cfRule type="expression" priority="3" aboveAverage="0" equalAverage="0" bottom="0" percent="0" rank="0" text="" dxfId="1">
      <formula>AND($C$5="CDGDZA",C8&lt;&gt;"")</formula>
    </cfRule>
    <cfRule type="expression" priority="4" aboveAverage="0" equalAverage="0" bottom="0" percent="0" rank="0" text="" dxfId="2">
      <formula>AND($C$5="BKKRUN",C8&lt;&gt;"")</formula>
    </cfRule>
    <cfRule type="expression" priority="5" aboveAverage="0" equalAverage="0" bottom="0" percent="0" rank="0" text="" dxfId="3">
      <formula>AND($C$5="DZARUN",C8&lt;&gt;"")</formula>
    </cfRule>
    <cfRule type="expression" priority="6" aboveAverage="0" equalAverage="0" bottom="0" percent="0" rank="0" text="" dxfId="4">
      <formula>AND($C$5="MRURUN",C8&lt;&gt;"")</formula>
    </cfRule>
    <cfRule type="expression" priority="7" aboveAverage="0" equalAverage="0" bottom="0" percent="0" rank="0" text="" dxfId="5">
      <formula>AND($C$5="NOSRUN",C8&lt;&gt;"")</formula>
    </cfRule>
    <cfRule type="expression" priority="8" aboveAverage="0" equalAverage="0" bottom="0" percent="0" rank="0" text="" dxfId="6">
      <formula>AND($C$5="RUNTNR",C8&lt;&gt;"")</formula>
    </cfRule>
    <cfRule type="expression" priority="9" aboveAverage="0" equalAverage="0" bottom="0" percent="0" rank="0" text="" dxfId="7">
      <formula>AND($C$5="JNBRUN",C8&lt;&gt;"")</formula>
    </cfRule>
    <cfRule type="expression" priority="10" aboveAverage="0" equalAverage="0" bottom="0" percent="0" rank="0" text="" dxfId="8">
      <formula>AND($C$5="CPTRUN",C8&lt;&gt;"")</formula>
    </cfRule>
    <cfRule type="expression" priority="11" aboveAverage="0" equalAverage="0" bottom="0" percent="0" rank="0" text="" dxfId="9">
      <formula>AND($C$5="DIERUN",C8&lt;&gt;"")</formula>
    </cfRule>
    <cfRule type="expression" priority="12" aboveAverage="0" equalAverage="0" bottom="0" percent="0" rank="0" text="" dxfId="10">
      <formula>AND($C$5="RRGRUN",C8&lt;&gt;"")</formula>
    </cfRule>
    <cfRule type="expression" priority="13" aboveAverage="0" equalAverage="0" bottom="0" percent="0" rank="0" text="" dxfId="11">
      <formula>AND($C$5="TMMRUN",C8&lt;&gt;"")</formula>
    </cfRule>
  </conditionalFormatting>
  <conditionalFormatting sqref="B25:B36">
    <cfRule type="expression" priority="14" aboveAverage="0" equalAverage="0" bottom="0" percent="0" rank="0" text="" dxfId="12">
      <formula>$B25="CDGRUN"</formula>
    </cfRule>
    <cfRule type="expression" priority="15" aboveAverage="0" equalAverage="0" bottom="0" percent="0" rank="0" text="" dxfId="13">
      <formula>$B25="CDGDZA"</formula>
    </cfRule>
    <cfRule type="expression" priority="16" aboveAverage="0" equalAverage="0" bottom="0" percent="0" rank="0" text="" dxfId="14">
      <formula>$B25="BKKRUN"</formula>
    </cfRule>
    <cfRule type="expression" priority="17" aboveAverage="0" equalAverage="0" bottom="0" percent="0" rank="0" text="" dxfId="15">
      <formula>$B25="DZARUN"</formula>
    </cfRule>
    <cfRule type="expression" priority="18" aboveAverage="0" equalAverage="0" bottom="0" percent="0" rank="0" text="" dxfId="16">
      <formula>$B25="MRURUN"</formula>
    </cfRule>
    <cfRule type="expression" priority="19" aboveAverage="0" equalAverage="0" bottom="0" percent="0" rank="0" text="" dxfId="17">
      <formula>$B25="NOSRUN"</formula>
    </cfRule>
    <cfRule type="expression" priority="20" aboveAverage="0" equalAverage="0" bottom="0" percent="0" rank="0" text="" dxfId="18">
      <formula>$B25="RUNTNR"</formula>
    </cfRule>
    <cfRule type="expression" priority="21" aboveAverage="0" equalAverage="0" bottom="0" percent="0" rank="0" text="" dxfId="19">
      <formula>$B25="JNBRUN"</formula>
    </cfRule>
    <cfRule type="expression" priority="22" aboveAverage="0" equalAverage="0" bottom="0" percent="0" rank="0" text="" dxfId="20">
      <formula>$B25="CPTRUN"</formula>
    </cfRule>
    <cfRule type="expression" priority="23" aboveAverage="0" equalAverage="0" bottom="0" percent="0" rank="0" text="" dxfId="21">
      <formula>$B25="DIERUN"</formula>
    </cfRule>
    <cfRule type="expression" priority="24" aboveAverage="0" equalAverage="0" bottom="0" percent="0" rank="0" text="" dxfId="22">
      <formula>$B25="RRGRUN"</formula>
    </cfRule>
    <cfRule type="expression" priority="25" aboveAverage="0" equalAverage="0" bottom="0" percent="0" rank="0" text="" dxfId="23">
      <formula>$B25="TMMRUN"</formula>
    </cfRule>
  </conditionalFormatting>
  <conditionalFormatting sqref="B43:B54">
    <cfRule type="expression" priority="26" aboveAverage="0" equalAverage="0" bottom="0" percent="0" rank="0" text="" dxfId="12">
      <formula>$B43="CDGRUN"</formula>
    </cfRule>
    <cfRule type="expression" priority="27" aboveAverage="0" equalAverage="0" bottom="0" percent="0" rank="0" text="" dxfId="13">
      <formula>$B43="CDGDZA"</formula>
    </cfRule>
    <cfRule type="expression" priority="28" aboveAverage="0" equalAverage="0" bottom="0" percent="0" rank="0" text="" dxfId="14">
      <formula>$B43="BKKRUN"</formula>
    </cfRule>
    <cfRule type="expression" priority="29" aboveAverage="0" equalAverage="0" bottom="0" percent="0" rank="0" text="" dxfId="15">
      <formula>$B43="DZARUN"</formula>
    </cfRule>
    <cfRule type="expression" priority="30" aboveAverage="0" equalAverage="0" bottom="0" percent="0" rank="0" text="" dxfId="16">
      <formula>$B43="MRURUN"</formula>
    </cfRule>
    <cfRule type="expression" priority="31" aboveAverage="0" equalAverage="0" bottom="0" percent="0" rank="0" text="" dxfId="17">
      <formula>$B43="NOSRUN"</formula>
    </cfRule>
    <cfRule type="expression" priority="32" aboveAverage="0" equalAverage="0" bottom="0" percent="0" rank="0" text="" dxfId="18">
      <formula>$B43="RUNTNR"</formula>
    </cfRule>
    <cfRule type="expression" priority="33" aboveAverage="0" equalAverage="0" bottom="0" percent="0" rank="0" text="" dxfId="19">
      <formula>$B43="JNBRUN"</formula>
    </cfRule>
    <cfRule type="expression" priority="34" aboveAverage="0" equalAverage="0" bottom="0" percent="0" rank="0" text="" dxfId="20">
      <formula>$B43="CPTRUN"</formula>
    </cfRule>
    <cfRule type="expression" priority="35" aboveAverage="0" equalAverage="0" bottom="0" percent="0" rank="0" text="" dxfId="21">
      <formula>$B43="DIERUN"</formula>
    </cfRule>
    <cfRule type="expression" priority="36" aboveAverage="0" equalAverage="0" bottom="0" percent="0" rank="0" text="" dxfId="22">
      <formula>$B43="RRGRUN"</formula>
    </cfRule>
    <cfRule type="expression" priority="37" aboveAverage="0" equalAverage="0" bottom="0" percent="0" rank="0" text="" dxfId="23">
      <formula>$B43="TMMRUN"</formula>
    </cfRule>
  </conditionalFormatting>
  <dataValidations count="4">
    <dataValidation allowBlank="false" errorStyle="stop" operator="between" showDropDown="false" showErrorMessage="false" showInputMessage="false" sqref="C4" type="list">
      <formula1>$N$43:$N$54</formula1>
      <formula2>0</formula2>
    </dataValidation>
    <dataValidation allowBlank="false" errorStyle="stop" operator="between" showDropDown="false" showErrorMessage="false" showInputMessage="false" sqref="C5" type="list">
      <formula1>$B$43:$B$54</formula1>
      <formula2>0</formula2>
    </dataValidation>
    <dataValidation allowBlank="false" errorStyle="stop" operator="between" showDropDown="false" showErrorMessage="false" showInputMessage="false" sqref="C43:C54" type="list">
      <formula1>$P$43:$P$45</formula1>
      <formula2>0</formula2>
    </dataValidation>
    <dataValidation allowBlank="false" error="Saisir 1 (jour opere) ou 0 (pas d'operation)." errorStyle="stop" errorTitle="Valeur invalide" operator="between" showDropDown="false" showErrorMessage="false" showInputMessage="false" sqref="D43:J54" type="list">
      <formula1>"0,1"</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legacyDrawing r:id="rId2"/>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2026-09-08T11:32:57Z</dcterms:created>
  <dc:creator>openpyxl</dc:creator>
  <dc:description/>
  <dc:language>en-US</dc:language>
  <cp:lastModifiedBy/>
  <dcterms:modified xsi:type="dcterms:W3CDTF">2026-09-08T11:32:57Z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