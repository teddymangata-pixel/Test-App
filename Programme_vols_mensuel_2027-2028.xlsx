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gramme de vols" sheetId="1" state="visible" r:id="rId3"/>
    <sheet name="Analyse capacite" sheetId="2" state="visible" r:id="rId4"/>
  </sheets>
  <definedNames>
    <definedName function="false" hidden="false" localSheetId="1" name="_xlnm.Print_Area" vbProcedure="false">'Analyse capacite'!$B$1:$O$75</definedName>
    <definedName function="false" hidden="false" localSheetId="0" name="_xlnm.Print_Area" vbProcedure="false">'Programme de vols'!$B$1:$L$39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49" authorId="0">
      <text>
        <r>
          <rPr>
            <sz val="10"/>
            <rFont val="Arial"/>
            <family val="2"/>
          </rPr>
          <t xml:space="preserve">12 tableaux identiques, un par mois.
3 lignes par route = les 3 types avion 77W / 778 / A320.
Cocher un jour : taper x. Decocher : touche Suppr.
Copier/coller la zone des 7 jours pour reprendre un mois sur un autre.</t>
        </r>
      </text>
    </comment>
    <comment ref="B521" authorId="0">
      <text>
        <r>
          <rPr>
            <sz val="10"/>
            <rFont val="Arial"/>
            <family val="2"/>
          </rPr>
          <t xml:space="preserve">Date du vol (annee avril 2027 - mars 2028).
Nb de rotations : 1 par defaut, 2 pour une double rotation le meme jour.
Les 3 premieres lignes sont des exemples : les supprimer.</t>
        </r>
      </text>
    </comment>
    <comment ref="C4" authorId="0">
      <text>
        <r>
          <rPr>
            <sz val="10"/>
            <rFont val="Arial"/>
            <family val="2"/>
          </rPr>
          <t xml:space="preserve">Liste deroulante : avril 2027 -&gt; mars 2028.</t>
        </r>
      </text>
    </comment>
    <comment ref="C5" authorId="0">
      <text>
        <r>
          <rPr>
            <sz val="10"/>
            <rFont val="Arial"/>
            <family val="2"/>
          </rPr>
          <t xml:space="preserve">Liste deroulante : les 12 routes exploitees.</t>
        </r>
      </text>
    </comment>
  </commentList>
</comments>
</file>

<file path=xl/sharedStrings.xml><?xml version="1.0" encoding="utf-8"?>
<sst xmlns="http://schemas.openxmlformats.org/spreadsheetml/2006/main" count="1627" uniqueCount="180">
  <si>
    <t xml:space="preserve">PROGRAMME DE VOLS MENSUEL - ANNEE D'EXPLOITATION AVRIL 2027 / MARS 2028</t>
  </si>
  <si>
    <t xml:space="preserve">Feuille unique de programmation : les deux filtres ci-dessous (Mois et Route) pilotent la grille, le recapitulatif ne suit que le filtre Mois. La saisie se fait dans 12 tableaux identiques, un par mois : chaque route y occupe 3 lignes, une par type avion (77W / 778 / A320), et il suffit de COCHER les jours d'operation. La feuille "Analyse capacite" traduit ce programme en sieges offerts.</t>
  </si>
  <si>
    <t xml:space="preserve">REPERES CALCULES</t>
  </si>
  <si>
    <t xml:space="preserve">Mois (filtre)</t>
  </si>
  <si>
    <t xml:space="preserve">1er jour</t>
  </si>
  <si>
    <t xml:space="preserve">Types avion</t>
  </si>
  <si>
    <t xml:space="preserve">Routes</t>
  </si>
  <si>
    <t xml:space="preserve">FILTRE  MOIS</t>
  </si>
  <si>
    <t xml:space="preserve">avril 2027</t>
  </si>
  <si>
    <t xml:space="preserve">&lt;-- liste deroulante : selectionne le tableau de saisie lu (la structure ne change pas)</t>
  </si>
  <si>
    <t xml:space="preserve">1er jour du mois</t>
  </si>
  <si>
    <t xml:space="preserve">77W</t>
  </si>
  <si>
    <t xml:space="preserve">CDGRUN</t>
  </si>
  <si>
    <t xml:space="preserve">FILTRE  ROUTE</t>
  </si>
  <si>
    <t xml:space="preserve">NOSRUN</t>
  </si>
  <si>
    <t xml:space="preserve">&lt;-- liste deroulante : pilote la grille uniquement</t>
  </si>
  <si>
    <t xml:space="preserve">Dernier jour du mois</t>
  </si>
  <si>
    <t xml:space="preserve">mai 2027</t>
  </si>
  <si>
    <t xml:space="preserve">778</t>
  </si>
  <si>
    <t xml:space="preserve">CDGDZA</t>
  </si>
  <si>
    <t xml:space="preserve">GRILLE MENSUELLE  -  type avion opere par semaine et par jour (filtres Mois + Route)</t>
  </si>
  <si>
    <t xml:space="preserve">Lundi semaine 1</t>
  </si>
  <si>
    <t xml:space="preserve">juin 2027</t>
  </si>
  <si>
    <t xml:space="preserve">A320</t>
  </si>
  <si>
    <t xml:space="preserve">BKKRUN</t>
  </si>
  <si>
    <t xml:space="preserve">Semaine</t>
  </si>
  <si>
    <t xml:space="preserve">J1 - Lundi</t>
  </si>
  <si>
    <t xml:space="preserve">J2 - Mardi</t>
  </si>
  <si>
    <t xml:space="preserve">J3 - Mercredi</t>
  </si>
  <si>
    <t xml:space="preserve">J4 - Jeudi</t>
  </si>
  <si>
    <t xml:space="preserve">J5 - Vendredi</t>
  </si>
  <si>
    <t xml:space="preserve">J6 - Samedi</t>
  </si>
  <si>
    <t xml:space="preserve">J7 - Dimanche</t>
  </si>
  <si>
    <t xml:space="preserve">Tableau de saisie lu</t>
  </si>
  <si>
    <t xml:space="preserve">juillet 2027</t>
  </si>
  <si>
    <t xml:space="preserve">DZARUN</t>
  </si>
  <si>
    <t xml:space="preserve">Semaine 1</t>
  </si>
  <si>
    <t xml:space="preserve">Type(s) avion</t>
  </si>
  <si>
    <t xml:space="preserve">aout 2027</t>
  </si>
  <si>
    <t xml:space="preserve">MRURUN</t>
  </si>
  <si>
    <t xml:space="preserve">Rotations / semaine</t>
  </si>
  <si>
    <t xml:space="preserve">septembre 2027</t>
  </si>
  <si>
    <t xml:space="preserve">Semaine 2</t>
  </si>
  <si>
    <t xml:space="preserve">Total rotations du mois</t>
  </si>
  <si>
    <t xml:space="preserve">octobre 2027</t>
  </si>
  <si>
    <t xml:space="preserve">RUNTNR</t>
  </si>
  <si>
    <t xml:space="preserve">        dont 77W</t>
  </si>
  <si>
    <t xml:space="preserve">novembre 2027</t>
  </si>
  <si>
    <t xml:space="preserve">JNBRUN</t>
  </si>
  <si>
    <t xml:space="preserve">Semaine 3</t>
  </si>
  <si>
    <t xml:space="preserve">        dont 778</t>
  </si>
  <si>
    <t xml:space="preserve">decembre 2027</t>
  </si>
  <si>
    <t xml:space="preserve">CPTRUN</t>
  </si>
  <si>
    <t xml:space="preserve">        dont A320</t>
  </si>
  <si>
    <t xml:space="preserve">janvier 2028</t>
  </si>
  <si>
    <t xml:space="preserve">DIERUN</t>
  </si>
  <si>
    <t xml:space="preserve">Semaine 4</t>
  </si>
  <si>
    <t xml:space="preserve">fevrier 2028</t>
  </si>
  <si>
    <t xml:space="preserve">RRGRUN</t>
  </si>
  <si>
    <t xml:space="preserve">PROGRAMME DE LA ROUTE FILTREE (auto - alimente la grille)</t>
  </si>
  <si>
    <t xml:space="preserve">mars 2028</t>
  </si>
  <si>
    <t xml:space="preserve">TMMRUN</t>
  </si>
  <si>
    <t xml:space="preserve">Semaine 5</t>
  </si>
  <si>
    <t xml:space="preserve">Jour</t>
  </si>
  <si>
    <t xml:space="preserve">J1</t>
  </si>
  <si>
    <t xml:space="preserve">J2</t>
  </si>
  <si>
    <t xml:space="preserve">J3</t>
  </si>
  <si>
    <t xml:space="preserve">J4</t>
  </si>
  <si>
    <t xml:space="preserve">J5</t>
  </si>
  <si>
    <t xml:space="preserve">J6</t>
  </si>
  <si>
    <t xml:space="preserve">J7</t>
  </si>
  <si>
    <t xml:space="preserve">Vols du jour (affichage grille)</t>
  </si>
  <si>
    <t xml:space="preserve">Semaine 6</t>
  </si>
  <si>
    <t xml:space="preserve">77W opere ?</t>
  </si>
  <si>
    <t xml:space="preserve">778 opere ?</t>
  </si>
  <si>
    <t xml:space="preserve">Occurrences du jour dans le mois</t>
  </si>
  <si>
    <t xml:space="preserve">A320 opere ?</t>
  </si>
  <si>
    <t xml:space="preserve">Nb de semaines calendaires du mois</t>
  </si>
  <si>
    <t xml:space="preserve">Lecture : "778" = 1 vol du programme  |  "77W/778/A320" = 2 ou 3 vols le meme jour  |  "778 (+A320)" = programme + vol additionnel (bordure rouge)  |  "(+A320)" = vol additionnel seul.</t>
  </si>
  <si>
    <t xml:space="preserve">PROGRAMME DU MOIS FILTRE, TOUTES ROUTES (auto - recopie du tableau du mois)</t>
  </si>
  <si>
    <t xml:space="preserve">RECAPITULATIF MENSUEL - TOUTES ROUTES  (depend uniquement du filtre Mois)</t>
  </si>
  <si>
    <t xml:space="preserve">Route / type</t>
  </si>
  <si>
    <t xml:space="preserve">Route</t>
  </si>
  <si>
    <t xml:space="preserve">Semaine type du mois (jours J1-J7)</t>
  </si>
  <si>
    <t xml:space="preserve">Rotations/semaine</t>
  </si>
  <si>
    <t xml:space="preserve">Nb de semaines/occurrences dans le mois</t>
  </si>
  <si>
    <t xml:space="preserve">dont programme du mois</t>
  </si>
  <si>
    <t xml:space="preserve">dont vols additionnels</t>
  </si>
  <si>
    <t xml:space="preserve">Total 77W</t>
  </si>
  <si>
    <t xml:space="preserve">Total 778</t>
  </si>
  <si>
    <t xml:space="preserve">Total A320</t>
  </si>
  <si>
    <t xml:space="preserve">CDGRUN - 77W</t>
  </si>
  <si>
    <t xml:space="preserve">CDGRUN - 778</t>
  </si>
  <si>
    <t xml:space="preserve">CDGRUN - A320</t>
  </si>
  <si>
    <t xml:space="preserve">CDGDZA - 77W</t>
  </si>
  <si>
    <t xml:space="preserve">CDGDZA - 778</t>
  </si>
  <si>
    <t xml:space="preserve">CDGDZA - A320</t>
  </si>
  <si>
    <t xml:space="preserve">BKKRUN - 77W</t>
  </si>
  <si>
    <t xml:space="preserve">BKKRUN - 778</t>
  </si>
  <si>
    <t xml:space="preserve">BKKRUN - A320</t>
  </si>
  <si>
    <t xml:space="preserve">DZARUN - 77W</t>
  </si>
  <si>
    <t xml:space="preserve">DZARUN - 778</t>
  </si>
  <si>
    <t xml:space="preserve">DZARUN - A320</t>
  </si>
  <si>
    <t xml:space="preserve">MRURUN - 77W</t>
  </si>
  <si>
    <t xml:space="preserve">TOTAL GENERAL</t>
  </si>
  <si>
    <t xml:space="preserve">MRURUN - 778</t>
  </si>
  <si>
    <t xml:space="preserve">Methode : le recapitulatif lit le tableau de saisie du mois filtre. Pour chaque jour coche, le nombre d'occurrences de ce jour dans le mois est compte a partir des dates reelles de la grille (ligne "Occurrences du jour dans le mois", semaines partielles incluses), chaque type avion etant compte separement. Total rotations du mois = programme du mois + vols additionnels dates. Une case cochee = 1 rotation ; pour deux rotations du meme type le meme jour, utiliser la table des vols additionnels.</t>
  </si>
  <si>
    <t xml:space="preserve">MRURUN - A320</t>
  </si>
  <si>
    <t xml:space="preserve">NOSRUN - 77W</t>
  </si>
  <si>
    <t xml:space="preserve">NOSRUN - 778</t>
  </si>
  <si>
    <t xml:space="preserve">1) SAISIE DU PROGRAMME : 12 TABLEAUX, UN PAR MOIS  -  COCHER LES JOURS D'OPERATION</t>
  </si>
  <si>
    <t xml:space="preserve">NOSRUN - A320</t>
  </si>
  <si>
    <t xml:space="preserve">COCHER UNE CASE : taper x dans la case du jour (elle devient une case verte cochee X). DECOCHER : touche Suppr. Pour cocher plusieurs cases d'un coup : selectionner la plage, taper x puis Ctrl+Entree. Chaque route occupe 3 lignes = les 3 types avion (77W / 778 / A320) : cocher la ligne du type qui opere. Cocher deux ou trois lignes le meme jour = 2 ou 3 rotations ce jour-la avec des types differents (une case cochee = 1 rotation ; pour 2 rotations du meme type le meme jour, utiliser la table des vols additionnels). Les 12 tableaux sont independants : la frequence peut donc etre differente chaque mois. Le tableau du mois filtre est signale en vert. Pour reprendre un mois sur un autre : copier la zone des 7 jours (36 lignes) et la coller dans le tableau cible. Valeurs livrees = exemples a ajuster.</t>
  </si>
  <si>
    <t xml:space="preserve">RUNTNR - 77W</t>
  </si>
  <si>
    <t xml:space="preserve">RUNTNR - 778</t>
  </si>
  <si>
    <t xml:space="preserve">Aller au mois :</t>
  </si>
  <si>
    <t xml:space="preserve">RUNTNR - A320</t>
  </si>
  <si>
    <t xml:space="preserve">(clic sur un mois)</t>
  </si>
  <si>
    <t xml:space="preserve">JNBRUN - 77W</t>
  </si>
  <si>
    <t xml:space="preserve">JNBRUN - 778</t>
  </si>
  <si>
    <t xml:space="preserve">^ Retour en haut</t>
  </si>
  <si>
    <t xml:space="preserve">JNBRUN - A320</t>
  </si>
  <si>
    <t xml:space="preserve">Type avion</t>
  </si>
  <si>
    <t xml:space="preserve">Rot./sem. par type</t>
  </si>
  <si>
    <t xml:space="preserve">Rot./sem. route</t>
  </si>
  <si>
    <t xml:space="preserve">CPTRUN - 77W</t>
  </si>
  <si>
    <t xml:space="preserve">x</t>
  </si>
  <si>
    <t xml:space="preserve">CPTRUN - 778</t>
  </si>
  <si>
    <t xml:space="preserve">CPTRUN - A320</t>
  </si>
  <si>
    <t xml:space="preserve">DIERUN - 77W</t>
  </si>
  <si>
    <t xml:space="preserve">DIERUN - 778</t>
  </si>
  <si>
    <t xml:space="preserve">DIERUN - A320</t>
  </si>
  <si>
    <t xml:space="preserve">RRGRUN - 77W</t>
  </si>
  <si>
    <t xml:space="preserve">RRGRUN - 778</t>
  </si>
  <si>
    <t xml:space="preserve">RRGRUN - A320</t>
  </si>
  <si>
    <t xml:space="preserve">TMMRUN - 77W</t>
  </si>
  <si>
    <t xml:space="preserve">TMMRUN - 778</t>
  </si>
  <si>
    <t xml:space="preserve">TMMRUN - A320</t>
  </si>
  <si>
    <t xml:space="preserve">2) VOLS ADDITIONNELS (en plus du programme du mois)</t>
  </si>
  <si>
    <t xml:space="preserve">Une ligne = un vol supplementaire date (charter, renfort ponctuel, fret, seconde rotation du meme type le meme jour...). Il s'ajoute au programme du mois, sur n'importe quel jour. Il apparait dans la grille entre parentheses avec un + et une bordure rouge, et il est compte dans le recapitulatif du mois concerne.</t>
  </si>
  <si>
    <t xml:space="preserve">Date du vol</t>
  </si>
  <si>
    <t xml:space="preserve">Nb de rotations</t>
  </si>
  <si>
    <t xml:space="preserve">Commentaire (libre)</t>
  </si>
  <si>
    <t xml:space="preserve">Cle technique (auto)</t>
  </si>
  <si>
    <t xml:space="preserve">EXEMPLE a supprimer - vol supplementaire un mercredi (jour hors programme)</t>
  </si>
  <si>
    <t xml:space="preserve">EXEMPLE a supprimer - rotation doublee un samedi (jour deja opere)</t>
  </si>
  <si>
    <t xml:space="preserve">EXEMPLE a supprimer - 2 rotations fret supplementaires</t>
  </si>
  <si>
    <t xml:space="preserve">ANALYSE DE CAPACITE - SIEGES OFFERTS (avril 2027 / mars 2028)</t>
  </si>
  <si>
    <t xml:space="preserve">Cette feuille interprete automatiquement la feuille "Programme de vols" (les 12 tableaux mensuels et les vols additionnels) en la croisant avec les capacites ci-dessous. Aucune saisie ici, hormis les sieges par type avion. Toute modification du programme met a jour cette feuille.</t>
  </si>
  <si>
    <t xml:space="preserve">HYPOTHESES DE CAPACITE (sieges par rotation)</t>
  </si>
  <si>
    <t xml:space="preserve">Sieges par rotation</t>
  </si>
  <si>
    <t xml:space="preserve">Remarque</t>
  </si>
  <si>
    <t xml:space="preserve">Valeur fournie (77W = 777-300ER).</t>
  </si>
  <si>
    <t xml:space="preserve">Valeur fournie pour le 787 (Dreamliner) ; code type 778 de la feuille 1.</t>
  </si>
  <si>
    <t xml:space="preserve">Valeur fournie (A320).</t>
  </si>
  <si>
    <t xml:space="preserve">SYNTHESE ANNUELLE PAR ROUTE</t>
  </si>
  <si>
    <t xml:space="preserve">Rotations sur l'annee</t>
  </si>
  <si>
    <t xml:space="preserve">Sieges offerts sur l'annee</t>
  </si>
  <si>
    <t xml:space="preserve">Sieges / rotation</t>
  </si>
  <si>
    <t xml:space="preserve">Part du reseau (sieges)</t>
  </si>
  <si>
    <t xml:space="preserve">TOTAL RESEAU</t>
  </si>
  <si>
    <t xml:space="preserve">SIEGES OFFERTS PAR MOIS ET PAR ROUTE</t>
  </si>
  <si>
    <t xml:space="preserve">Mois</t>
  </si>
  <si>
    <t xml:space="preserve">TOTAL</t>
  </si>
  <si>
    <t xml:space="preserve">TOTAL ANNEE</t>
  </si>
  <si>
    <t xml:space="preserve">ROTATIONS PAR MOIS ET PAR ROUTE</t>
  </si>
  <si>
    <t xml:space="preserve">ROTATIONS ET SIEGES PAR TYPE AVION ET PAR MOIS</t>
  </si>
  <si>
    <t xml:space="preserve">Rotations 77W</t>
  </si>
  <si>
    <t xml:space="preserve">Rotations 778</t>
  </si>
  <si>
    <t xml:space="preserve">Rotations A320</t>
  </si>
  <si>
    <t xml:space="preserve">Total rotations</t>
  </si>
  <si>
    <t xml:space="preserve">Sieges 77W</t>
  </si>
  <si>
    <t xml:space="preserve">Sieges 778</t>
  </si>
  <si>
    <t xml:space="preserve">Sieges A320</t>
  </si>
  <si>
    <t xml:space="preserve">Total sieges</t>
  </si>
  <si>
    <t xml:space="preserve">CALENDRIER AUTO : occurrences de chaque jour de semaine dans le mois (semaines partielles incluses)</t>
  </si>
  <si>
    <t xml:space="preserve">Dernier jour</t>
  </si>
  <si>
    <t xml:space="preserve">Nb de jours</t>
  </si>
  <si>
    <t xml:space="preserve">DETAIL AUTO : rotations par route, type avion et mois (programme du mois + vols additionnels)</t>
  </si>
  <si>
    <t xml:space="preserve">Type</t>
  </si>
</sst>
</file>

<file path=xl/styles.xml><?xml version="1.0" encoding="utf-8"?>
<styleSheet xmlns="http://schemas.openxmlformats.org/spreadsheetml/2006/main">
  <numFmts count="8">
    <numFmt numFmtId="164" formatCode="General"/>
    <numFmt numFmtId="165" formatCode="dd/mm/yyyy"/>
    <numFmt numFmtId="166" formatCode="0"/>
    <numFmt numFmtId="167" formatCode="dd/mm"/>
    <numFmt numFmtId="168" formatCode="General"/>
    <numFmt numFmtId="169" formatCode=";;;\X"/>
    <numFmt numFmtId="170" formatCode="#,##0"/>
    <numFmt numFmtId="171" formatCode="0.0%"/>
  </numFmts>
  <fonts count="3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404040"/>
      <name val="Arial"/>
      <family val="0"/>
      <charset val="1"/>
    </font>
    <font>
      <b val="true"/>
      <sz val="10"/>
      <color rgb="FFFFFFFF"/>
      <name val="Arial"/>
      <family val="0"/>
      <charset val="1"/>
    </font>
    <font>
      <b val="true"/>
      <sz val="8"/>
      <color rgb="FFFFFFFF"/>
      <name val="Arial"/>
      <family val="0"/>
      <charset val="1"/>
    </font>
    <font>
      <b val="true"/>
      <sz val="11"/>
      <color rgb="FFFFFFFF"/>
      <name val="Arial"/>
      <family val="0"/>
      <charset val="1"/>
    </font>
    <font>
      <b val="true"/>
      <sz val="12"/>
      <color rgb="FF0000FF"/>
      <name val="Arial"/>
      <family val="0"/>
      <charset val="1"/>
    </font>
    <font>
      <i val="true"/>
      <sz val="9"/>
      <color rgb="FF808080"/>
      <name val="Arial"/>
      <family val="0"/>
      <charset val="1"/>
    </font>
    <font>
      <sz val="9"/>
      <color rgb="FF000000"/>
      <name val="Arial"/>
      <family val="0"/>
      <charset val="1"/>
    </font>
    <font>
      <b val="true"/>
      <sz val="9"/>
      <color rgb="FF000000"/>
      <name val="Arial"/>
      <family val="0"/>
      <charset val="1"/>
    </font>
    <font>
      <sz val="8"/>
      <color rgb="FF000000"/>
      <name val="Arial"/>
      <family val="0"/>
      <charset val="1"/>
    </font>
    <font>
      <b val="true"/>
      <sz val="10"/>
      <color rgb="FF000000"/>
      <name val="Arial"/>
      <family val="0"/>
      <charset val="1"/>
    </font>
    <font>
      <i val="true"/>
      <sz val="8"/>
      <color rgb="FF595959"/>
      <name val="Arial"/>
      <family val="0"/>
      <charset val="1"/>
    </font>
    <font>
      <b val="true"/>
      <sz val="9"/>
      <color rgb="FFFFFFFF"/>
      <name val="Arial"/>
      <family val="0"/>
      <charset val="1"/>
    </font>
    <font>
      <b val="true"/>
      <sz val="8"/>
      <color rgb="FF000000"/>
      <name val="Arial"/>
      <family val="0"/>
      <charset val="1"/>
    </font>
    <font>
      <sz val="10"/>
      <color rgb="FF000000"/>
      <name val="Arial"/>
      <family val="0"/>
      <charset val="1"/>
    </font>
    <font>
      <b val="true"/>
      <sz val="11"/>
      <color rgb="FF000000"/>
      <name val="Arial"/>
      <family val="0"/>
      <charset val="1"/>
    </font>
    <font>
      <i val="true"/>
      <sz val="8"/>
      <color rgb="FF833C0C"/>
      <name val="Arial"/>
      <family val="0"/>
      <charset val="1"/>
    </font>
    <font>
      <b val="true"/>
      <sz val="9"/>
      <color rgb="FF0563C1"/>
      <name val="Arial"/>
      <family val="0"/>
      <charset val="1"/>
    </font>
    <font>
      <i val="true"/>
      <sz val="8"/>
      <color rgb="FF808080"/>
      <name val="Arial"/>
      <family val="0"/>
      <charset val="1"/>
    </font>
    <font>
      <i val="true"/>
      <sz val="8"/>
      <color rgb="FF0563C1"/>
      <name val="Arial"/>
      <family val="0"/>
      <charset val="1"/>
    </font>
    <font>
      <b val="true"/>
      <sz val="11"/>
      <color rgb="FF0000FF"/>
      <name val="Arial"/>
      <family val="0"/>
      <charset val="1"/>
    </font>
    <font>
      <sz val="10"/>
      <color rgb="FF0000FF"/>
      <name val="Arial"/>
      <family val="0"/>
      <charset val="1"/>
    </font>
    <font>
      <i val="true"/>
      <sz val="9"/>
      <color rgb="FF595959"/>
      <name val="Arial"/>
      <family val="0"/>
      <charset val="1"/>
    </font>
    <font>
      <sz val="8"/>
      <color rgb="FFA6A6A6"/>
      <name val="Arial"/>
      <family val="0"/>
      <charset val="1"/>
    </font>
    <font>
      <sz val="10"/>
      <name val="Arial"/>
      <family val="2"/>
    </font>
    <font>
      <b val="true"/>
      <sz val="10"/>
      <color rgb="FF0000FF"/>
      <name val="Arial"/>
      <family val="0"/>
      <charset val="1"/>
    </font>
  </fonts>
  <fills count="25">
    <fill>
      <patternFill patternType="none"/>
    </fill>
    <fill>
      <patternFill patternType="gray125"/>
    </fill>
    <fill>
      <patternFill patternType="solid">
        <fgColor rgb="FF1F3864"/>
        <bgColor rgb="FF404040"/>
      </patternFill>
    </fill>
    <fill>
      <patternFill patternType="solid">
        <fgColor rgb="FF808080"/>
        <bgColor rgb="FFA6774B"/>
      </patternFill>
    </fill>
    <fill>
      <patternFill patternType="solid">
        <fgColor rgb="FFFFF2CC"/>
        <bgColor rgb="FFF2E4D8"/>
      </patternFill>
    </fill>
    <fill>
      <patternFill patternType="solid">
        <fgColor rgb="FFF2F2F2"/>
        <bgColor rgb="FFE7E6E6"/>
      </patternFill>
    </fill>
    <fill>
      <patternFill patternType="solid">
        <fgColor rgb="FF2F5597"/>
        <bgColor rgb="FF2E75B6"/>
      </patternFill>
    </fill>
    <fill>
      <patternFill patternType="solid">
        <fgColor rgb="FFD9E2F3"/>
        <bgColor rgb="FFE7E6E6"/>
      </patternFill>
    </fill>
    <fill>
      <patternFill patternType="solid">
        <fgColor rgb="FFE7E6E6"/>
        <bgColor rgb="FFF2E4D8"/>
      </patternFill>
    </fill>
    <fill>
      <patternFill patternType="solid">
        <fgColor rgb="FF833C0C"/>
        <bgColor rgb="FF993366"/>
      </patternFill>
    </fill>
    <fill>
      <patternFill patternType="solid">
        <fgColor rgb="FFA6774B"/>
        <bgColor rgb="FF808080"/>
      </patternFill>
    </fill>
    <fill>
      <patternFill patternType="solid">
        <fgColor rgb="FFF2E4D8"/>
        <bgColor rgb="FFE7E6E6"/>
      </patternFill>
    </fill>
    <fill>
      <patternFill patternType="solid">
        <fgColor rgb="FFA6A6A6"/>
        <bgColor rgb="FF8FAADC"/>
      </patternFill>
    </fill>
    <fill>
      <patternFill patternType="solid">
        <fgColor rgb="FF9DC3E6"/>
        <bgColor rgb="FF8FAADC"/>
      </patternFill>
    </fill>
    <fill>
      <patternFill patternType="solid">
        <fgColor rgb="FF2E75B6"/>
        <bgColor rgb="FF2F5597"/>
      </patternFill>
    </fill>
    <fill>
      <patternFill patternType="solid">
        <fgColor rgb="FFFFE699"/>
        <bgColor rgb="FFFFF2CC"/>
      </patternFill>
    </fill>
    <fill>
      <patternFill patternType="solid">
        <fgColor rgb="FFF4B183"/>
        <bgColor rgb="FFD5A6BD"/>
      </patternFill>
    </fill>
    <fill>
      <patternFill patternType="solid">
        <fgColor rgb="FFC6E0B4"/>
        <bgColor rgb="FFB7DEE8"/>
      </patternFill>
    </fill>
    <fill>
      <patternFill patternType="solid">
        <fgColor rgb="FFFFD966"/>
        <bgColor rgb="FFFFE699"/>
      </patternFill>
    </fill>
    <fill>
      <patternFill patternType="solid">
        <fgColor rgb="FFD9D2E9"/>
        <bgColor rgb="FFD9E2F3"/>
      </patternFill>
    </fill>
    <fill>
      <patternFill patternType="solid">
        <fgColor rgb="FFA9D08E"/>
        <bgColor rgb="FFC6E0B4"/>
      </patternFill>
    </fill>
    <fill>
      <patternFill patternType="solid">
        <fgColor rgb="FF8FAADC"/>
        <bgColor rgb="FF9DC3E6"/>
      </patternFill>
    </fill>
    <fill>
      <patternFill patternType="solid">
        <fgColor rgb="FFFFC7CE"/>
        <bgColor rgb="FFF2E4D8"/>
      </patternFill>
    </fill>
    <fill>
      <patternFill patternType="solid">
        <fgColor rgb="FFB7DEE8"/>
        <bgColor rgb="FFC6E0B4"/>
      </patternFill>
    </fill>
    <fill>
      <patternFill patternType="solid">
        <fgColor rgb="FFD5A6BD"/>
        <bgColor rgb="FFA6A6A6"/>
      </patternFill>
    </fill>
  </fills>
  <borders count="3">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medium">
        <color rgb="FF404040"/>
      </left>
      <right/>
      <top style="medium">
        <color rgb="FF404040"/>
      </top>
      <bottom style="medium">
        <color rgb="FF40404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false" indent="0" shrinkToFit="false"/>
      <protection locked="true" hidden="false"/>
    </xf>
    <xf numFmtId="167" fontId="15" fillId="0"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6" fontId="12" fillId="4" borderId="1"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lef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left" vertical="center" textRotation="0" wrapText="false" indent="0" shrinkToFit="false"/>
      <protection locked="true" hidden="false"/>
    </xf>
    <xf numFmtId="168" fontId="14" fillId="8"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6" fontId="18" fillId="0" borderId="1" xfId="0" applyFont="true" applyBorder="true" applyAlignment="true" applyProtection="false">
      <alignment horizontal="center" vertical="center"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18" fillId="2" borderId="1" xfId="0" applyFont="true" applyBorder="true" applyAlignment="true" applyProtection="false">
      <alignment horizontal="center" vertical="center" textRotation="0" wrapText="fals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6" fontId="8" fillId="2"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8" fillId="9" borderId="0"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21" fillId="5" borderId="1" xfId="0" applyFont="true" applyBorder="true" applyAlignment="true" applyProtection="false">
      <alignment horizontal="center" vertical="center" textRotation="0" wrapText="false" indent="0" shrinkToFit="false"/>
      <protection locked="true" hidden="false"/>
    </xf>
    <xf numFmtId="164" fontId="22" fillId="5" borderId="1"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right" vertical="center" textRotation="0" wrapText="fals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9" fontId="24" fillId="0"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5" fontId="25"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6" fontId="25" fillId="0"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left" vertical="center" textRotation="0" wrapText="fals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70" fontId="29" fillId="4"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4" fontId="14" fillId="13" borderId="1" xfId="0" applyFont="true" applyBorder="true" applyAlignment="true" applyProtection="false">
      <alignment horizontal="center" vertical="center" textRotation="0" wrapText="false" indent="0" shrinkToFit="false"/>
      <protection locked="true" hidden="false"/>
    </xf>
    <xf numFmtId="170" fontId="18" fillId="0" borderId="1" xfId="0" applyFont="true" applyBorder="true" applyAlignment="true" applyProtection="false">
      <alignment horizontal="center" vertical="center" textRotation="0" wrapText="false" indent="0" shrinkToFit="false"/>
      <protection locked="true" hidden="false"/>
    </xf>
    <xf numFmtId="170" fontId="14" fillId="0" borderId="1" xfId="0" applyFont="true" applyBorder="true" applyAlignment="true" applyProtection="false">
      <alignment horizontal="center" vertical="center" textRotation="0" wrapText="false" indent="0" shrinkToFit="false"/>
      <protection locked="true" hidden="false"/>
    </xf>
    <xf numFmtId="171" fontId="18" fillId="0" borderId="1" xfId="0" applyFont="true" applyBorder="true" applyAlignment="true" applyProtection="false">
      <alignment horizontal="center" vertical="center" textRotation="0" wrapText="false" indent="0" shrinkToFit="false"/>
      <protection locked="true" hidden="false"/>
    </xf>
    <xf numFmtId="164" fontId="6" fillId="14" borderId="1" xfId="0" applyFont="true" applyBorder="true" applyAlignment="true" applyProtection="false">
      <alignment horizontal="center" vertical="center" textRotation="0" wrapText="false" indent="0" shrinkToFit="false"/>
      <protection locked="true" hidden="false"/>
    </xf>
    <xf numFmtId="164" fontId="14" fillId="15" borderId="1" xfId="0" applyFont="true" applyBorder="true" applyAlignment="true" applyProtection="false">
      <alignment horizontal="center" vertical="center" textRotation="0" wrapText="false" indent="0" shrinkToFit="false"/>
      <protection locked="true" hidden="false"/>
    </xf>
    <xf numFmtId="164" fontId="14" fillId="16" borderId="1" xfId="0" applyFont="true" applyBorder="true" applyAlignment="true" applyProtection="false">
      <alignment horizontal="center" vertical="center" textRotation="0" wrapText="fals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14" fillId="18" borderId="1" xfId="0" applyFont="true" applyBorder="true" applyAlignment="true" applyProtection="false">
      <alignment horizontal="center" vertical="center" textRotation="0" wrapText="false" indent="0" shrinkToFit="false"/>
      <protection locked="true" hidden="false"/>
    </xf>
    <xf numFmtId="164" fontId="14" fillId="19" borderId="1" xfId="0" applyFont="true" applyBorder="true" applyAlignment="true" applyProtection="false">
      <alignment horizontal="center" vertical="center" textRotation="0" wrapText="false" indent="0" shrinkToFit="false"/>
      <protection locked="true" hidden="false"/>
    </xf>
    <xf numFmtId="164" fontId="14" fillId="20" borderId="1" xfId="0" applyFont="true" applyBorder="true" applyAlignment="true" applyProtection="false">
      <alignment horizontal="center" vertical="center" textRotation="0" wrapText="false" indent="0" shrinkToFit="false"/>
      <protection locked="true" hidden="false"/>
    </xf>
    <xf numFmtId="164" fontId="14" fillId="21" borderId="1" xfId="0" applyFont="true" applyBorder="true" applyAlignment="true" applyProtection="false">
      <alignment horizontal="center" vertical="center" textRotation="0" wrapText="false" indent="0" shrinkToFit="false"/>
      <protection locked="true" hidden="false"/>
    </xf>
    <xf numFmtId="164" fontId="14" fillId="22" borderId="1" xfId="0" applyFont="true" applyBorder="true" applyAlignment="true" applyProtection="false">
      <alignment horizontal="center" vertical="center" textRotation="0" wrapText="false" indent="0" shrinkToFit="false"/>
      <protection locked="true" hidden="false"/>
    </xf>
    <xf numFmtId="164" fontId="14" fillId="23" borderId="1" xfId="0" applyFont="true" applyBorder="true" applyAlignment="true" applyProtection="false">
      <alignment horizontal="center" vertical="center" textRotation="0" wrapText="false" indent="0" shrinkToFit="false"/>
      <protection locked="true" hidden="false"/>
    </xf>
    <xf numFmtId="164" fontId="14" fillId="24" borderId="1" xfId="0" applyFont="true" applyBorder="true" applyAlignment="true" applyProtection="false">
      <alignment horizontal="center" vertical="center" textRotation="0" wrapText="false" indent="0" shrinkToFit="false"/>
      <protection locked="true" hidden="false"/>
    </xf>
    <xf numFmtId="170" fontId="8" fillId="2" borderId="1" xfId="0" applyFont="true" applyBorder="true" applyAlignment="true" applyProtection="false">
      <alignment horizontal="center" vertical="center" textRotation="0" wrapText="false" indent="0" shrinkToFit="false"/>
      <protection locked="true" hidden="false"/>
    </xf>
    <xf numFmtId="170" fontId="6" fillId="2" borderId="1" xfId="0" applyFont="true" applyBorder="true" applyAlignment="true" applyProtection="false">
      <alignment horizontal="center" vertical="center" textRotation="0" wrapText="false" indent="0" shrinkToFit="false"/>
      <protection locked="true" hidden="false"/>
    </xf>
    <xf numFmtId="171" fontId="6" fillId="2" borderId="1" xfId="0" applyFont="true" applyBorder="true" applyAlignment="true" applyProtection="false">
      <alignment horizontal="center" vertical="center" textRotation="0" wrapText="false" indent="0" shrinkToFit="false"/>
      <protection locked="true" hidden="false"/>
    </xf>
    <xf numFmtId="164" fontId="12" fillId="13" borderId="1" xfId="0" applyFont="true" applyBorder="true" applyAlignment="true" applyProtection="false">
      <alignment horizontal="center" vertical="center" textRotation="0" wrapText="false" indent="0" shrinkToFit="false"/>
      <protection locked="true" hidden="false"/>
    </xf>
    <xf numFmtId="164" fontId="16" fillId="14" borderId="1" xfId="0" applyFont="true" applyBorder="true" applyAlignment="true" applyProtection="false">
      <alignment horizontal="center" vertical="center" textRotation="0" wrapText="false" indent="0" shrinkToFit="false"/>
      <protection locked="true" hidden="false"/>
    </xf>
    <xf numFmtId="164" fontId="12" fillId="15" borderId="1" xfId="0" applyFont="true" applyBorder="true" applyAlignment="true" applyProtection="false">
      <alignment horizontal="center" vertical="center" textRotation="0" wrapText="false" indent="0" shrinkToFit="false"/>
      <protection locked="true" hidden="false"/>
    </xf>
    <xf numFmtId="164" fontId="12" fillId="16" borderId="1" xfId="0" applyFont="true" applyBorder="true" applyAlignment="true" applyProtection="false">
      <alignment horizontal="center" vertical="center" textRotation="0" wrapText="false" indent="0" shrinkToFit="false"/>
      <protection locked="true" hidden="false"/>
    </xf>
    <xf numFmtId="164" fontId="12" fillId="17" borderId="1" xfId="0" applyFont="true" applyBorder="true" applyAlignment="true" applyProtection="false">
      <alignment horizontal="center" vertical="center" textRotation="0" wrapText="false" indent="0" shrinkToFit="false"/>
      <protection locked="true" hidden="false"/>
    </xf>
    <xf numFmtId="164" fontId="12" fillId="18" borderId="1" xfId="0" applyFont="true" applyBorder="true" applyAlignment="true" applyProtection="false">
      <alignment horizontal="center" vertical="center" textRotation="0" wrapText="false" indent="0" shrinkToFit="false"/>
      <protection locked="true" hidden="false"/>
    </xf>
    <xf numFmtId="164" fontId="12" fillId="19" borderId="1" xfId="0" applyFont="true" applyBorder="true" applyAlignment="true" applyProtection="false">
      <alignment horizontal="center" vertical="center" textRotation="0" wrapText="false" indent="0" shrinkToFit="false"/>
      <protection locked="true" hidden="false"/>
    </xf>
    <xf numFmtId="164" fontId="12" fillId="20" borderId="1" xfId="0" applyFont="true" applyBorder="true" applyAlignment="true" applyProtection="false">
      <alignment horizontal="center" vertical="center" textRotation="0" wrapText="false" indent="0" shrinkToFit="false"/>
      <protection locked="true" hidden="false"/>
    </xf>
    <xf numFmtId="164" fontId="12" fillId="21" borderId="1" xfId="0" applyFont="true" applyBorder="true" applyAlignment="true" applyProtection="false">
      <alignment horizontal="center" vertical="center" textRotation="0" wrapText="false" indent="0" shrinkToFit="false"/>
      <protection locked="true" hidden="false"/>
    </xf>
    <xf numFmtId="164" fontId="12" fillId="22" borderId="1" xfId="0" applyFont="true" applyBorder="true" applyAlignment="true" applyProtection="false">
      <alignment horizontal="center" vertical="center" textRotation="0" wrapText="false" indent="0" shrinkToFit="false"/>
      <protection locked="true" hidden="false"/>
    </xf>
    <xf numFmtId="164" fontId="12" fillId="23" borderId="1" xfId="0" applyFont="true" applyBorder="true" applyAlignment="true" applyProtection="false">
      <alignment horizontal="center" vertical="center" textRotation="0" wrapText="false" indent="0" shrinkToFit="false"/>
      <protection locked="true" hidden="false"/>
    </xf>
    <xf numFmtId="164" fontId="12" fillId="24"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70" fontId="11" fillId="0" borderId="1" xfId="0" applyFont="true" applyBorder="true" applyAlignment="true" applyProtection="false">
      <alignment horizontal="center" vertical="center" textRotation="0" wrapText="false" indent="0" shrinkToFit="false"/>
      <protection locked="true" hidden="false"/>
    </xf>
    <xf numFmtId="170" fontId="12" fillId="0" borderId="1" xfId="0" applyFont="true" applyBorder="true" applyAlignment="true" applyProtection="false">
      <alignment horizontal="center" vertical="center" textRotation="0" wrapText="false" indent="0" shrinkToFit="false"/>
      <protection locked="true" hidden="false"/>
    </xf>
    <xf numFmtId="164" fontId="16" fillId="2" borderId="1" xfId="0" applyFont="true" applyBorder="true" applyAlignment="true" applyProtection="false">
      <alignment horizontal="left" vertical="center" textRotation="0" wrapText="false" indent="0" shrinkToFit="false"/>
      <protection locked="true" hidden="false"/>
    </xf>
    <xf numFmtId="170" fontId="16" fillId="2" borderId="1"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true" applyAlignment="true" applyProtection="false">
      <alignment horizontal="left"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border diagonalUp="false" diagonalDown="false">
        <left style="medium">
          <color rgb="FFC00000"/>
        </left>
        <right style="medium">
          <color rgb="FFC00000"/>
        </right>
        <top style="medium">
          <color rgb="FFC00000"/>
        </top>
        <bottom style="medium">
          <color rgb="FFC00000"/>
        </bottom>
        <diagonal/>
      </border>
    </dxf>
    <dxf>
      <font>
        <name val="Arial"/>
        <charset val="1"/>
        <family val="0"/>
        <b val="1"/>
        <color rgb="FF000000"/>
        <sz val="10"/>
      </font>
      <fill>
        <patternFill>
          <bgColor rgb="FF9DC3E6"/>
        </patternFill>
      </fill>
    </dxf>
    <dxf>
      <font>
        <name val="Arial"/>
        <charset val="1"/>
        <family val="0"/>
        <b val="1"/>
        <color rgb="FFFFFFFF"/>
        <sz val="10"/>
      </font>
      <fill>
        <patternFill>
          <bgColor rgb="FF2E75B6"/>
        </patternFill>
      </fill>
    </dxf>
    <dxf>
      <font>
        <name val="Arial"/>
        <charset val="1"/>
        <family val="0"/>
        <b val="1"/>
        <color rgb="FF000000"/>
        <sz val="10"/>
      </font>
      <fill>
        <patternFill>
          <bgColor rgb="FFFFE699"/>
        </patternFill>
      </fill>
    </dxf>
    <dxf>
      <font>
        <name val="Arial"/>
        <charset val="1"/>
        <family val="0"/>
        <b val="1"/>
        <color rgb="FF000000"/>
        <sz val="10"/>
      </font>
      <fill>
        <patternFill>
          <bgColor rgb="FFF4B183"/>
        </patternFill>
      </fill>
    </dxf>
    <dxf>
      <font>
        <name val="Arial"/>
        <charset val="1"/>
        <family val="0"/>
        <b val="1"/>
        <color rgb="FF000000"/>
        <sz val="10"/>
      </font>
      <fill>
        <patternFill>
          <bgColor rgb="FFC6E0B4"/>
        </patternFill>
      </fill>
    </dxf>
    <dxf>
      <font>
        <name val="Arial"/>
        <charset val="1"/>
        <family val="0"/>
        <b val="1"/>
        <color rgb="FF000000"/>
        <sz val="10"/>
      </font>
      <fill>
        <patternFill>
          <bgColor rgb="FFFFD966"/>
        </patternFill>
      </fill>
    </dxf>
    <dxf>
      <font>
        <name val="Arial"/>
        <charset val="1"/>
        <family val="0"/>
        <b val="1"/>
        <color rgb="FF000000"/>
        <sz val="10"/>
      </font>
      <fill>
        <patternFill>
          <bgColor rgb="FFD9D2E9"/>
        </patternFill>
      </fill>
    </dxf>
    <dxf>
      <font>
        <name val="Arial"/>
        <charset val="1"/>
        <family val="0"/>
        <b val="1"/>
        <color rgb="FF000000"/>
        <sz val="10"/>
      </font>
      <fill>
        <patternFill>
          <bgColor rgb="FFA9D08E"/>
        </patternFill>
      </fill>
    </dxf>
    <dxf>
      <font>
        <name val="Arial"/>
        <charset val="1"/>
        <family val="0"/>
        <b val="1"/>
        <color rgb="FF000000"/>
        <sz val="10"/>
      </font>
      <fill>
        <patternFill>
          <bgColor rgb="FF8FAADC"/>
        </patternFill>
      </fill>
    </dxf>
    <dxf>
      <font>
        <name val="Arial"/>
        <charset val="1"/>
        <family val="0"/>
        <b val="1"/>
        <color rgb="FF000000"/>
        <sz val="10"/>
      </font>
      <fill>
        <patternFill>
          <bgColor rgb="FFFFC7CE"/>
        </patternFill>
      </fill>
    </dxf>
    <dxf>
      <font>
        <name val="Arial"/>
        <charset val="1"/>
        <family val="0"/>
        <b val="1"/>
        <color rgb="FF000000"/>
        <sz val="10"/>
      </font>
      <fill>
        <patternFill>
          <bgColor rgb="FFB7DEE8"/>
        </patternFill>
      </fill>
    </dxf>
    <dxf>
      <font>
        <name val="Arial"/>
        <charset val="1"/>
        <family val="0"/>
        <b val="1"/>
        <color rgb="FF000000"/>
        <sz val="10"/>
      </font>
      <fill>
        <patternFill>
          <bgColor rgb="FFD5A6BD"/>
        </patternFill>
      </fill>
    </dxf>
    <dxf>
      <font>
        <name val="Arial"/>
        <charset val="1"/>
        <family val="0"/>
        <b val="1"/>
        <color rgb="FFFFFFFF"/>
        <sz val="11"/>
      </font>
      <fill>
        <patternFill>
          <bgColor rgb="FF70AD47"/>
        </patternFill>
      </fill>
    </dxf>
    <dxf>
      <font>
        <name val="Arial"/>
        <charset val="1"/>
        <family val="0"/>
        <b val="1"/>
        <color rgb="FF000000"/>
        <sz val="11"/>
      </font>
      <fill>
        <patternFill>
          <bgColor rgb="FF9DC3E6"/>
        </patternFill>
      </fill>
    </dxf>
    <dxf>
      <font>
        <name val="Arial"/>
        <charset val="1"/>
        <family val="0"/>
        <b val="1"/>
        <color rgb="FFFFFFFF"/>
        <sz val="11"/>
      </font>
      <fill>
        <patternFill>
          <bgColor rgb="FF2E75B6"/>
        </patternFill>
      </fill>
    </dxf>
    <dxf>
      <font>
        <name val="Arial"/>
        <charset val="1"/>
        <family val="0"/>
        <b val="1"/>
        <color rgb="FF000000"/>
        <sz val="11"/>
      </font>
      <fill>
        <patternFill>
          <bgColor rgb="FFFFE699"/>
        </patternFill>
      </fill>
    </dxf>
    <dxf>
      <font>
        <name val="Arial"/>
        <charset val="1"/>
        <family val="0"/>
        <b val="1"/>
        <color rgb="FF000000"/>
        <sz val="11"/>
      </font>
      <fill>
        <patternFill>
          <bgColor rgb="FFF4B183"/>
        </patternFill>
      </fill>
    </dxf>
    <dxf>
      <font>
        <name val="Arial"/>
        <charset val="1"/>
        <family val="0"/>
        <b val="1"/>
        <color rgb="FF000000"/>
        <sz val="11"/>
      </font>
      <fill>
        <patternFill>
          <bgColor rgb="FFC6E0B4"/>
        </patternFill>
      </fill>
    </dxf>
    <dxf>
      <font>
        <name val="Arial"/>
        <charset val="1"/>
        <family val="0"/>
        <b val="1"/>
        <color rgb="FF000000"/>
        <sz val="11"/>
      </font>
      <fill>
        <patternFill>
          <bgColor rgb="FFFFD966"/>
        </patternFill>
      </fill>
    </dxf>
    <dxf>
      <font>
        <name val="Arial"/>
        <charset val="1"/>
        <family val="0"/>
        <b val="1"/>
        <color rgb="FF000000"/>
        <sz val="11"/>
      </font>
      <fill>
        <patternFill>
          <bgColor rgb="FFD9D2E9"/>
        </patternFill>
      </fill>
    </dxf>
    <dxf>
      <font>
        <name val="Arial"/>
        <charset val="1"/>
        <family val="0"/>
        <b val="1"/>
        <color rgb="FF000000"/>
        <sz val="11"/>
      </font>
      <fill>
        <patternFill>
          <bgColor rgb="FFA9D08E"/>
        </patternFill>
      </fill>
    </dxf>
    <dxf>
      <font>
        <name val="Arial"/>
        <charset val="1"/>
        <family val="0"/>
        <b val="1"/>
        <color rgb="FF000000"/>
        <sz val="11"/>
      </font>
      <fill>
        <patternFill>
          <bgColor rgb="FF8FAADC"/>
        </patternFill>
      </fill>
    </dxf>
    <dxf>
      <font>
        <name val="Arial"/>
        <charset val="1"/>
        <family val="0"/>
        <b val="1"/>
        <color rgb="FF000000"/>
        <sz val="11"/>
      </font>
      <fill>
        <patternFill>
          <bgColor rgb="FFFFC7CE"/>
        </patternFill>
      </fill>
    </dxf>
    <dxf>
      <font>
        <name val="Arial"/>
        <charset val="1"/>
        <family val="0"/>
        <b val="1"/>
        <color rgb="FF000000"/>
        <sz val="11"/>
      </font>
      <fill>
        <patternFill>
          <bgColor rgb="FFB7DEE8"/>
        </patternFill>
      </fill>
    </dxf>
    <dxf>
      <font>
        <name val="Arial"/>
        <charset val="1"/>
        <family val="0"/>
        <b val="1"/>
        <color rgb="FF000000"/>
        <sz val="11"/>
      </font>
      <fill>
        <patternFill>
          <bgColor rgb="FFD5A6BD"/>
        </patternFill>
      </fill>
    </dxf>
    <dxf>
      <font>
        <name val="Arial"/>
        <charset val="1"/>
        <family val="0"/>
        <b val="1"/>
        <color rgb="FFFFFFFF"/>
        <sz val="11"/>
      </font>
      <fill>
        <patternFill>
          <bgColor rgb="FF375623"/>
        </patternFill>
      </fill>
    </dxf>
  </dxfs>
  <colors>
    <indexedColors>
      <rgbColor rgb="FF000000"/>
      <rgbColor rgb="FFFFFFFF"/>
      <rgbColor rgb="FFC00000"/>
      <rgbColor rgb="FF00FF00"/>
      <rgbColor rgb="FF0000FF"/>
      <rgbColor rgb="FFF2E4D8"/>
      <rgbColor rgb="FFFF00FF"/>
      <rgbColor rgb="FF00FFFF"/>
      <rgbColor rgb="FF800000"/>
      <rgbColor rgb="FF008000"/>
      <rgbColor rgb="FF000080"/>
      <rgbColor rgb="FFA6774B"/>
      <rgbColor rgb="FF800080"/>
      <rgbColor rgb="FF008080"/>
      <rgbColor rgb="FFD5A6BD"/>
      <rgbColor rgb="FF808080"/>
      <rgbColor rgb="FF8FAADC"/>
      <rgbColor rgb="FF993366"/>
      <rgbColor rgb="FFFFF2CC"/>
      <rgbColor rgb="FFF2F2F2"/>
      <rgbColor rgb="FF660066"/>
      <rgbColor rgb="FFFF8080"/>
      <rgbColor rgb="FF0563C1"/>
      <rgbColor rgb="FFD9D2E9"/>
      <rgbColor rgb="FF000080"/>
      <rgbColor rgb="FFFF00FF"/>
      <rgbColor rgb="FFE7E6E6"/>
      <rgbColor rgb="FF00FFFF"/>
      <rgbColor rgb="FF800080"/>
      <rgbColor rgb="FF800000"/>
      <rgbColor rgb="FF008080"/>
      <rgbColor rgb="FF0000FF"/>
      <rgbColor rgb="FF00CCFF"/>
      <rgbColor rgb="FFD9E2F3"/>
      <rgbColor rgb="FFC6E0B4"/>
      <rgbColor rgb="FFFFE699"/>
      <rgbColor rgb="FF9DC3E6"/>
      <rgbColor rgb="FFF4B183"/>
      <rgbColor rgb="FFB7DEE8"/>
      <rgbColor rgb="FFFFC7CE"/>
      <rgbColor rgb="FF2E75B6"/>
      <rgbColor rgb="FF33CCCC"/>
      <rgbColor rgb="FFA9D08E"/>
      <rgbColor rgb="FFFFD966"/>
      <rgbColor rgb="FFFF9900"/>
      <rgbColor rgb="FFFF6600"/>
      <rgbColor rgb="FF595959"/>
      <rgbColor rgb="FFA6A6A6"/>
      <rgbColor rgb="FF1F3864"/>
      <rgbColor rgb="FF70AD47"/>
      <rgbColor rgb="FF003300"/>
      <rgbColor rgb="FF375623"/>
      <rgbColor rgb="FF833C0C"/>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9" min="3" style="0" width="16"/>
    <col collapsed="false" customWidth="true" hidden="false" outlineLevel="0" max="12" min="11" style="0" width="16"/>
    <col collapsed="false" customWidth="true" hidden="false" outlineLevel="0" max="13" min="13" style="0" width="3"/>
    <col collapsed="false" customWidth="true" hidden="false" outlineLevel="0" max="14" min="14" style="0" width="26"/>
    <col collapsed="false" customWidth="true" hidden="false" outlineLevel="0" max="21" min="15" style="0" width="10"/>
    <col collapsed="false" customWidth="true" hidden="false" outlineLevel="0" max="22" min="22" style="0" width="3"/>
    <col collapsed="false" customWidth="true" hidden="false" outlineLevel="0" max="23" min="23" style="0" width="18"/>
    <col collapsed="false" customWidth="true" hidden="false" outlineLevel="0" max="24" min="24" style="0" width="12"/>
    <col collapsed="false" customWidth="true" hidden="false" outlineLevel="0" max="26" min="25" style="0" width="10"/>
  </cols>
  <sheetData>
    <row r="1" customFormat="false" ht="30" hidden="false" customHeight="true" outlineLevel="0" collapsed="false">
      <c r="B1" s="1" t="s">
        <v>0</v>
      </c>
      <c r="C1" s="1"/>
      <c r="D1" s="1"/>
      <c r="E1" s="1"/>
      <c r="F1" s="1"/>
      <c r="G1" s="1"/>
      <c r="H1" s="1"/>
      <c r="I1" s="1"/>
    </row>
    <row r="2" customFormat="false" ht="25.5" hidden="false" customHeight="true" outlineLevel="0" collapsed="false">
      <c r="B2" s="2" t="s">
        <v>1</v>
      </c>
      <c r="C2" s="2"/>
      <c r="D2" s="2"/>
      <c r="E2" s="2"/>
      <c r="F2" s="2"/>
      <c r="G2" s="2"/>
      <c r="H2" s="2"/>
      <c r="I2" s="2"/>
    </row>
    <row r="3" customFormat="false" ht="15" hidden="false" customHeight="false" outlineLevel="0" collapsed="false">
      <c r="N3" s="3" t="s">
        <v>2</v>
      </c>
      <c r="O3" s="3"/>
      <c r="W3" s="4" t="s">
        <v>3</v>
      </c>
      <c r="X3" s="4" t="s">
        <v>4</v>
      </c>
      <c r="Y3" s="4" t="s">
        <v>5</v>
      </c>
      <c r="Z3" s="4" t="s">
        <v>6</v>
      </c>
    </row>
    <row r="4" customFormat="false" ht="15" hidden="false" customHeight="false" outlineLevel="0" collapsed="false">
      <c r="B4" s="5" t="s">
        <v>7</v>
      </c>
      <c r="C4" s="6" t="s">
        <v>8</v>
      </c>
      <c r="D4" s="6"/>
      <c r="E4" s="7" t="s">
        <v>9</v>
      </c>
      <c r="N4" s="8" t="s">
        <v>10</v>
      </c>
      <c r="O4" s="9" t="n">
        <f aca="false">INDEX($X$4:$X$15,MATCH($C$4,$W$4:$W$15,0))</f>
        <v>46478</v>
      </c>
      <c r="W4" s="10" t="s">
        <v>8</v>
      </c>
      <c r="X4" s="11" t="n">
        <f aca="false">DATE(2027,4,1)</f>
        <v>46478</v>
      </c>
      <c r="Y4" s="12" t="s">
        <v>11</v>
      </c>
      <c r="Z4" s="12" t="s">
        <v>12</v>
      </c>
    </row>
    <row r="5" customFormat="false" ht="15" hidden="false" customHeight="false" outlineLevel="0" collapsed="false">
      <c r="B5" s="5" t="s">
        <v>13</v>
      </c>
      <c r="C5" s="6" t="s">
        <v>14</v>
      </c>
      <c r="D5" s="6"/>
      <c r="E5" s="7" t="s">
        <v>15</v>
      </c>
      <c r="N5" s="8" t="s">
        <v>16</v>
      </c>
      <c r="O5" s="9" t="n">
        <f aca="false">EOMONTH($O$4,0)</f>
        <v>46507</v>
      </c>
      <c r="W5" s="10" t="s">
        <v>17</v>
      </c>
      <c r="X5" s="11" t="n">
        <f aca="false">DATE(2027,5,1)</f>
        <v>46508</v>
      </c>
      <c r="Y5" s="12" t="s">
        <v>18</v>
      </c>
      <c r="Z5" s="12" t="s">
        <v>19</v>
      </c>
    </row>
    <row r="6" customFormat="false" ht="15" hidden="false" customHeight="false" outlineLevel="0" collapsed="false">
      <c r="B6" s="13" t="s">
        <v>20</v>
      </c>
      <c r="C6" s="13"/>
      <c r="D6" s="13"/>
      <c r="E6" s="13"/>
      <c r="F6" s="13"/>
      <c r="G6" s="13"/>
      <c r="H6" s="13"/>
      <c r="I6" s="13"/>
      <c r="N6" s="8" t="s">
        <v>21</v>
      </c>
      <c r="O6" s="9" t="n">
        <f aca="false">$O$4-WEEKDAY($O$4,3)</f>
        <v>46475</v>
      </c>
      <c r="W6" s="10" t="s">
        <v>22</v>
      </c>
      <c r="X6" s="11" t="n">
        <f aca="false">DATE(2027,6,1)</f>
        <v>46539</v>
      </c>
      <c r="Y6" s="12" t="s">
        <v>23</v>
      </c>
      <c r="Z6" s="12" t="s">
        <v>24</v>
      </c>
    </row>
    <row r="7" customFormat="false" ht="15" hidden="false" customHeight="false" outlineLevel="0" collapsed="false">
      <c r="B7" s="14" t="s">
        <v>25</v>
      </c>
      <c r="C7" s="14" t="s">
        <v>26</v>
      </c>
      <c r="D7" s="14" t="s">
        <v>27</v>
      </c>
      <c r="E7" s="14" t="s">
        <v>28</v>
      </c>
      <c r="F7" s="14" t="s">
        <v>29</v>
      </c>
      <c r="G7" s="14" t="s">
        <v>30</v>
      </c>
      <c r="H7" s="14" t="s">
        <v>31</v>
      </c>
      <c r="I7" s="14" t="s">
        <v>32</v>
      </c>
      <c r="N7" s="8" t="s">
        <v>33</v>
      </c>
      <c r="O7" s="15" t="n">
        <f aca="false">MATCH($C$4,$W$4:$W$15,0)</f>
        <v>1</v>
      </c>
      <c r="W7" s="10" t="s">
        <v>34</v>
      </c>
      <c r="X7" s="11" t="n">
        <f aca="false">DATE(2027,7,1)</f>
        <v>46569</v>
      </c>
      <c r="Z7" s="12" t="s">
        <v>35</v>
      </c>
    </row>
    <row r="8" customFormat="false" ht="21.75" hidden="false" customHeight="true" outlineLevel="0" collapsed="false">
      <c r="B8" s="16" t="s">
        <v>36</v>
      </c>
      <c r="C8" s="17" t="str">
        <f aca="false">IF(C9="","",TRIM($O$17&amp;IF(SUMIFS($E$521:$E$560,$C$521:$C$560,$C$5,$B$521:$B$560,C9)=0,""," (+"&amp;IF(COUNTIFS($C$521:$C$560,$C$5,$B$521:$B$560,C9)=1,IF(SUMIFS($E$521:$E$560,$C$521:$C$560,$C$5,$B$521:$B$560,C9)=1,IFERROR(INDEX($D$521:$D$560,MATCH(C9&amp;"|"&amp;$C$5,$H$521:$H$560,0)),""),SUMIFS($E$521:$E$560,$C$521:$C$560,$C$5,$B$521:$B$560,C9)&amp;"x"&amp;IFERROR(INDEX($D$521:$D$560,MATCH(C9&amp;"|"&amp;$C$5,$H$521:$H$560,0)),"")),SUMIFS($E$521:$E$560,$C$521:$C$560,$C$5,$B$521:$B$560,C9)&amp;" vols")&amp;")")))</f>
        <v/>
      </c>
      <c r="D8" s="17" t="str">
        <f aca="false">IF(D9="","",TRIM($P$17&amp;IF(SUMIFS($E$521:$E$560,$C$521:$C$560,$C$5,$B$521:$B$560,D9)=0,""," (+"&amp;IF(COUNTIFS($C$521:$C$560,$C$5,$B$521:$B$560,D9)=1,IF(SUMIFS($E$521:$E$560,$C$521:$C$560,$C$5,$B$521:$B$560,D9)=1,IFERROR(INDEX($D$521:$D$560,MATCH(D9&amp;"|"&amp;$C$5,$H$521:$H$560,0)),""),SUMIFS($E$521:$E$560,$C$521:$C$560,$C$5,$B$521:$B$560,D9)&amp;"x"&amp;IFERROR(INDEX($D$521:$D$560,MATCH(D9&amp;"|"&amp;$C$5,$H$521:$H$560,0)),"")),SUMIFS($E$521:$E$560,$C$521:$C$560,$C$5,$B$521:$B$560,D9)&amp;" vols")&amp;")")))</f>
        <v/>
      </c>
      <c r="E8" s="17" t="str">
        <f aca="false">IF(E9="","",TRIM($Q$17&amp;IF(SUMIFS($E$521:$E$560,$C$521:$C$560,$C$5,$B$521:$B$560,E9)=0,""," (+"&amp;IF(COUNTIFS($C$521:$C$560,$C$5,$B$521:$B$560,E9)=1,IF(SUMIFS($E$521:$E$560,$C$521:$C$560,$C$5,$B$521:$B$560,E9)=1,IFERROR(INDEX($D$521:$D$560,MATCH(E9&amp;"|"&amp;$C$5,$H$521:$H$560,0)),""),SUMIFS($E$521:$E$560,$C$521:$C$560,$C$5,$B$521:$B$560,E9)&amp;"x"&amp;IFERROR(INDEX($D$521:$D$560,MATCH(E9&amp;"|"&amp;$C$5,$H$521:$H$560,0)),"")),SUMIFS($E$521:$E$560,$C$521:$C$560,$C$5,$B$521:$B$560,E9)&amp;" vols")&amp;")")))</f>
        <v/>
      </c>
      <c r="F8" s="17" t="str">
        <f aca="false">IF(F9="","",TRIM($R$17&amp;IF(SUMIFS($E$521:$E$560,$C$521:$C$560,$C$5,$B$521:$B$560,F9)=0,""," (+"&amp;IF(COUNTIFS($C$521:$C$560,$C$5,$B$521:$B$560,F9)=1,IF(SUMIFS($E$521:$E$560,$C$521:$C$560,$C$5,$B$521:$B$560,F9)=1,IFERROR(INDEX($D$521:$D$560,MATCH(F9&amp;"|"&amp;$C$5,$H$521:$H$560,0)),""),SUMIFS($E$521:$E$560,$C$521:$C$560,$C$5,$B$521:$B$560,F9)&amp;"x"&amp;IFERROR(INDEX($D$521:$D$560,MATCH(F9&amp;"|"&amp;$C$5,$H$521:$H$560,0)),"")),SUMIFS($E$521:$E$560,$C$521:$C$560,$C$5,$B$521:$B$560,F9)&amp;" vols")&amp;")")))</f>
        <v>A320</v>
      </c>
      <c r="G8" s="17" t="str">
        <f aca="false">IF(G9="","",TRIM($S$17&amp;IF(SUMIFS($E$521:$E$560,$C$521:$C$560,$C$5,$B$521:$B$560,G9)=0,""," (+"&amp;IF(COUNTIFS($C$521:$C$560,$C$5,$B$521:$B$560,G9)=1,IF(SUMIFS($E$521:$E$560,$C$521:$C$560,$C$5,$B$521:$B$560,G9)=1,IFERROR(INDEX($D$521:$D$560,MATCH(G9&amp;"|"&amp;$C$5,$H$521:$H$560,0)),""),SUMIFS($E$521:$E$560,$C$521:$C$560,$C$5,$B$521:$B$560,G9)&amp;"x"&amp;IFERROR(INDEX($D$521:$D$560,MATCH(G9&amp;"|"&amp;$C$5,$H$521:$H$560,0)),"")),SUMIFS($E$521:$E$560,$C$521:$C$560,$C$5,$B$521:$B$560,G9)&amp;" vols")&amp;")")))</f>
        <v/>
      </c>
      <c r="H8" s="17" t="str">
        <f aca="false">IF(H9="","",TRIM($T$17&amp;IF(SUMIFS($E$521:$E$560,$C$521:$C$560,$C$5,$B$521:$B$560,H9)=0,""," (+"&amp;IF(COUNTIFS($C$521:$C$560,$C$5,$B$521:$B$560,H9)=1,IF(SUMIFS($E$521:$E$560,$C$521:$C$560,$C$5,$B$521:$B$560,H9)=1,IFERROR(INDEX($D$521:$D$560,MATCH(H9&amp;"|"&amp;$C$5,$H$521:$H$560,0)),""),SUMIFS($E$521:$E$560,$C$521:$C$560,$C$5,$B$521:$B$560,H9)&amp;"x"&amp;IFERROR(INDEX($D$521:$D$560,MATCH(H9&amp;"|"&amp;$C$5,$H$521:$H$560,0)),"")),SUMIFS($E$521:$E$560,$C$521:$C$560,$C$5,$B$521:$B$560,H9)&amp;" vols")&amp;")")))</f>
        <v>A320</v>
      </c>
      <c r="I8" s="17" t="str">
        <f aca="false">IF(I9="","",TRIM($U$17&amp;IF(SUMIFS($E$521:$E$560,$C$521:$C$560,$C$5,$B$521:$B$560,I9)=0,""," (+"&amp;IF(COUNTIFS($C$521:$C$560,$C$5,$B$521:$B$560,I9)=1,IF(SUMIFS($E$521:$E$560,$C$521:$C$560,$C$5,$B$521:$B$560,I9)=1,IFERROR(INDEX($D$521:$D$560,MATCH(I9&amp;"|"&amp;$C$5,$H$521:$H$560,0)),""),SUMIFS($E$521:$E$560,$C$521:$C$560,$C$5,$B$521:$B$560,I9)&amp;"x"&amp;IFERROR(INDEX($D$521:$D$560,MATCH(I9&amp;"|"&amp;$C$5,$H$521:$H$560,0)),"")),SUMIFS($E$521:$E$560,$C$521:$C$560,$C$5,$B$521:$B$560,I9)&amp;" vols")&amp;")")))</f>
        <v/>
      </c>
      <c r="N8" s="8" t="s">
        <v>37</v>
      </c>
      <c r="O8" s="18" t="str">
        <f aca="false">IFERROR(INDEX($C$25:$C$36,MATCH($C$5,$B$25:$B$36,0)),"")</f>
        <v>A320(3)</v>
      </c>
      <c r="W8" s="10" t="s">
        <v>38</v>
      </c>
      <c r="X8" s="11" t="n">
        <f aca="false">DATE(2027,8,1)</f>
        <v>46600</v>
      </c>
      <c r="Z8" s="12" t="s">
        <v>39</v>
      </c>
    </row>
    <row r="9" customFormat="false" ht="13.5" hidden="false" customHeight="true" outlineLevel="0" collapsed="false">
      <c r="B9" s="19" t="str">
        <f aca="false">IF(COUNT(C9:I9)=0,"","du "&amp;TEXT(MIN(C9:I9),"DD/MM")&amp;" au "&amp;TEXT(MAX(C9:I9),"DD/MM"))</f>
        <v>du 01/04 au 04/04</v>
      </c>
      <c r="C9" s="20" t="str">
        <f aca="false">IF(OR($O$6+0&lt;$O$4,$O$6+0&gt;$O$5),"",$O$6+0)</f>
        <v/>
      </c>
      <c r="D9" s="20" t="str">
        <f aca="false">IF(OR($O$6+1&lt;$O$4,$O$6+1&gt;$O$5),"",$O$6+1)</f>
        <v/>
      </c>
      <c r="E9" s="20" t="str">
        <f aca="false">IF(OR($O$6+2&lt;$O$4,$O$6+2&gt;$O$5),"",$O$6+2)</f>
        <v/>
      </c>
      <c r="F9" s="20" t="n">
        <f aca="false">IF(OR($O$6+3&lt;$O$4,$O$6+3&gt;$O$5),"",$O$6+3)</f>
        <v>46478</v>
      </c>
      <c r="G9" s="20" t="n">
        <f aca="false">IF(OR($O$6+4&lt;$O$4,$O$6+4&gt;$O$5),"",$O$6+4)</f>
        <v>46479</v>
      </c>
      <c r="H9" s="20" t="n">
        <f aca="false">IF(OR($O$6+5&lt;$O$4,$O$6+5&gt;$O$5),"",$O$6+5)</f>
        <v>46480</v>
      </c>
      <c r="I9" s="20" t="n">
        <f aca="false">IF(OR($O$6+6&lt;$O$4,$O$6+6&gt;$O$5),"",$O$6+6)</f>
        <v>46481</v>
      </c>
      <c r="N9" s="8" t="s">
        <v>40</v>
      </c>
      <c r="O9" s="15" t="n">
        <f aca="false">IFERROR(INDEX($E$25:$E$36,MATCH($C$5,$B$25:$B$36,0)),"")</f>
        <v>3</v>
      </c>
      <c r="W9" s="10" t="s">
        <v>41</v>
      </c>
      <c r="X9" s="11" t="n">
        <f aca="false">DATE(2027,9,1)</f>
        <v>46631</v>
      </c>
      <c r="Z9" s="12" t="s">
        <v>14</v>
      </c>
    </row>
    <row r="10" customFormat="false" ht="21.75" hidden="false" customHeight="true" outlineLevel="0" collapsed="false">
      <c r="B10" s="16" t="s">
        <v>42</v>
      </c>
      <c r="C10" s="17" t="str">
        <f aca="false">IF(C11="","",TRIM($O$17&amp;IF(SUMIFS($E$521:$E$560,$C$521:$C$560,$C$5,$B$521:$B$560,C11)=0,""," (+"&amp;IF(COUNTIFS($C$521:$C$560,$C$5,$B$521:$B$560,C11)=1,IF(SUMIFS($E$521:$E$560,$C$521:$C$560,$C$5,$B$521:$B$560,C11)=1,IFERROR(INDEX($D$521:$D$560,MATCH(C11&amp;"|"&amp;$C$5,$H$521:$H$560,0)),""),SUMIFS($E$521:$E$560,$C$521:$C$560,$C$5,$B$521:$B$560,C11)&amp;"x"&amp;IFERROR(INDEX($D$521:$D$560,MATCH(C11&amp;"|"&amp;$C$5,$H$521:$H$560,0)),"")),SUMIFS($E$521:$E$560,$C$521:$C$560,$C$5,$B$521:$B$560,C11)&amp;" vols")&amp;")")))</f>
        <v>A320</v>
      </c>
      <c r="D10" s="17" t="str">
        <f aca="false">IF(D11="","",TRIM($P$17&amp;IF(SUMIFS($E$521:$E$560,$C$521:$C$560,$C$5,$B$521:$B$560,D11)=0,""," (+"&amp;IF(COUNTIFS($C$521:$C$560,$C$5,$B$521:$B$560,D11)=1,IF(SUMIFS($E$521:$E$560,$C$521:$C$560,$C$5,$B$521:$B$560,D11)=1,IFERROR(INDEX($D$521:$D$560,MATCH(D11&amp;"|"&amp;$C$5,$H$521:$H$560,0)),""),SUMIFS($E$521:$E$560,$C$521:$C$560,$C$5,$B$521:$B$560,D11)&amp;"x"&amp;IFERROR(INDEX($D$521:$D$560,MATCH(D11&amp;"|"&amp;$C$5,$H$521:$H$560,0)),"")),SUMIFS($E$521:$E$560,$C$521:$C$560,$C$5,$B$521:$B$560,D11)&amp;" vols")&amp;")")))</f>
        <v/>
      </c>
      <c r="E10" s="17" t="str">
        <f aca="false">IF(E11="","",TRIM($Q$17&amp;IF(SUMIFS($E$521:$E$560,$C$521:$C$560,$C$5,$B$521:$B$560,E11)=0,""," (+"&amp;IF(COUNTIFS($C$521:$C$560,$C$5,$B$521:$B$560,E11)=1,IF(SUMIFS($E$521:$E$560,$C$521:$C$560,$C$5,$B$521:$B$560,E11)=1,IFERROR(INDEX($D$521:$D$560,MATCH(E11&amp;"|"&amp;$C$5,$H$521:$H$560,0)),""),SUMIFS($E$521:$E$560,$C$521:$C$560,$C$5,$B$521:$B$560,E11)&amp;"x"&amp;IFERROR(INDEX($D$521:$D$560,MATCH(E11&amp;"|"&amp;$C$5,$H$521:$H$560,0)),"")),SUMIFS($E$521:$E$560,$C$521:$C$560,$C$5,$B$521:$B$560,E11)&amp;" vols")&amp;")")))</f>
        <v>(+A320)</v>
      </c>
      <c r="F10" s="17" t="str">
        <f aca="false">IF(F11="","",TRIM($R$17&amp;IF(SUMIFS($E$521:$E$560,$C$521:$C$560,$C$5,$B$521:$B$560,F11)=0,""," (+"&amp;IF(COUNTIFS($C$521:$C$560,$C$5,$B$521:$B$560,F11)=1,IF(SUMIFS($E$521:$E$560,$C$521:$C$560,$C$5,$B$521:$B$560,F11)=1,IFERROR(INDEX($D$521:$D$560,MATCH(F11&amp;"|"&amp;$C$5,$H$521:$H$560,0)),""),SUMIFS($E$521:$E$560,$C$521:$C$560,$C$5,$B$521:$B$560,F11)&amp;"x"&amp;IFERROR(INDEX($D$521:$D$560,MATCH(F11&amp;"|"&amp;$C$5,$H$521:$H$560,0)),"")),SUMIFS($E$521:$E$560,$C$521:$C$560,$C$5,$B$521:$B$560,F11)&amp;" vols")&amp;")")))</f>
        <v>A320</v>
      </c>
      <c r="G10" s="17" t="str">
        <f aca="false">IF(G11="","",TRIM($S$17&amp;IF(SUMIFS($E$521:$E$560,$C$521:$C$560,$C$5,$B$521:$B$560,G11)=0,""," (+"&amp;IF(COUNTIFS($C$521:$C$560,$C$5,$B$521:$B$560,G11)=1,IF(SUMIFS($E$521:$E$560,$C$521:$C$560,$C$5,$B$521:$B$560,G11)=1,IFERROR(INDEX($D$521:$D$560,MATCH(G11&amp;"|"&amp;$C$5,$H$521:$H$560,0)),""),SUMIFS($E$521:$E$560,$C$521:$C$560,$C$5,$B$521:$B$560,G11)&amp;"x"&amp;IFERROR(INDEX($D$521:$D$560,MATCH(G11&amp;"|"&amp;$C$5,$H$521:$H$560,0)),"")),SUMIFS($E$521:$E$560,$C$521:$C$560,$C$5,$B$521:$B$560,G11)&amp;" vols")&amp;")")))</f>
        <v/>
      </c>
      <c r="H10" s="17" t="str">
        <f aca="false">IF(H11="","",TRIM($T$17&amp;IF(SUMIFS($E$521:$E$560,$C$521:$C$560,$C$5,$B$521:$B$560,H11)=0,""," (+"&amp;IF(COUNTIFS($C$521:$C$560,$C$5,$B$521:$B$560,H11)=1,IF(SUMIFS($E$521:$E$560,$C$521:$C$560,$C$5,$B$521:$B$560,H11)=1,IFERROR(INDEX($D$521:$D$560,MATCH(H11&amp;"|"&amp;$C$5,$H$521:$H$560,0)),""),SUMIFS($E$521:$E$560,$C$521:$C$560,$C$5,$B$521:$B$560,H11)&amp;"x"&amp;IFERROR(INDEX($D$521:$D$560,MATCH(H11&amp;"|"&amp;$C$5,$H$521:$H$560,0)),"")),SUMIFS($E$521:$E$560,$C$521:$C$560,$C$5,$B$521:$B$560,H11)&amp;" vols")&amp;")")))</f>
        <v>A320 (+A320)</v>
      </c>
      <c r="I10" s="17" t="str">
        <f aca="false">IF(I11="","",TRIM($U$17&amp;IF(SUMIFS($E$521:$E$560,$C$521:$C$560,$C$5,$B$521:$B$560,I11)=0,""," (+"&amp;IF(COUNTIFS($C$521:$C$560,$C$5,$B$521:$B$560,I11)=1,IF(SUMIFS($E$521:$E$560,$C$521:$C$560,$C$5,$B$521:$B$560,I11)=1,IFERROR(INDEX($D$521:$D$560,MATCH(I11&amp;"|"&amp;$C$5,$H$521:$H$560,0)),""),SUMIFS($E$521:$E$560,$C$521:$C$560,$C$5,$B$521:$B$560,I11)&amp;"x"&amp;IFERROR(INDEX($D$521:$D$560,MATCH(I11&amp;"|"&amp;$C$5,$H$521:$H$560,0)),"")),SUMIFS($E$521:$E$560,$C$521:$C$560,$C$5,$B$521:$B$560,I11)&amp;" vols")&amp;")")))</f>
        <v/>
      </c>
      <c r="N10" s="21" t="s">
        <v>43</v>
      </c>
      <c r="O10" s="22" t="n">
        <f aca="false">IFERROR(INDEX($G$25:$G$36,MATCH($C$5,$B$25:$B$36,0)),"")</f>
        <v>15</v>
      </c>
      <c r="W10" s="10" t="s">
        <v>44</v>
      </c>
      <c r="X10" s="11" t="n">
        <f aca="false">DATE(2027,10,1)</f>
        <v>46661</v>
      </c>
      <c r="Z10" s="12" t="s">
        <v>45</v>
      </c>
    </row>
    <row r="11" customFormat="false" ht="13.5" hidden="false" customHeight="true" outlineLevel="0" collapsed="false">
      <c r="B11" s="19" t="str">
        <f aca="false">IF(COUNT(C11:I11)=0,"","du "&amp;TEXT(MIN(C11:I11),"DD/MM")&amp;" au "&amp;TEXT(MAX(C11:I11),"DD/MM"))</f>
        <v>du 05/04 au 11/04</v>
      </c>
      <c r="C11" s="20" t="n">
        <f aca="false">IF(OR($O$6+7&lt;$O$4,$O$6+7&gt;$O$5),"",$O$6+7)</f>
        <v>46482</v>
      </c>
      <c r="D11" s="20" t="n">
        <f aca="false">IF(OR($O$6+8&lt;$O$4,$O$6+8&gt;$O$5),"",$O$6+8)</f>
        <v>46483</v>
      </c>
      <c r="E11" s="20" t="n">
        <f aca="false">IF(OR($O$6+9&lt;$O$4,$O$6+9&gt;$O$5),"",$O$6+9)</f>
        <v>46484</v>
      </c>
      <c r="F11" s="20" t="n">
        <f aca="false">IF(OR($O$6+10&lt;$O$4,$O$6+10&gt;$O$5),"",$O$6+10)</f>
        <v>46485</v>
      </c>
      <c r="G11" s="20" t="n">
        <f aca="false">IF(OR($O$6+11&lt;$O$4,$O$6+11&gt;$O$5),"",$O$6+11)</f>
        <v>46486</v>
      </c>
      <c r="H11" s="20" t="n">
        <f aca="false">IF(OR($O$6+12&lt;$O$4,$O$6+12&gt;$O$5),"",$O$6+12)</f>
        <v>46487</v>
      </c>
      <c r="I11" s="20" t="n">
        <f aca="false">IF(OR($O$6+13&lt;$O$4,$O$6+13&gt;$O$5),"",$O$6+13)</f>
        <v>46488</v>
      </c>
      <c r="N11" s="8" t="s">
        <v>46</v>
      </c>
      <c r="O11" s="15" t="n">
        <f aca="false">IFERROR(INDEX($J$25:$J$36,MATCH($C$5,$B$25:$B$36,0)),"")</f>
        <v>0</v>
      </c>
      <c r="W11" s="10" t="s">
        <v>47</v>
      </c>
      <c r="X11" s="11" t="n">
        <f aca="false">DATE(2027,11,1)</f>
        <v>46692</v>
      </c>
      <c r="Z11" s="12" t="s">
        <v>48</v>
      </c>
    </row>
    <row r="12" customFormat="false" ht="21.75" hidden="false" customHeight="true" outlineLevel="0" collapsed="false">
      <c r="B12" s="16" t="s">
        <v>49</v>
      </c>
      <c r="C12" s="17" t="str">
        <f aca="false">IF(C13="","",TRIM($O$17&amp;IF(SUMIFS($E$521:$E$560,$C$521:$C$560,$C$5,$B$521:$B$560,C13)=0,""," (+"&amp;IF(COUNTIFS($C$521:$C$560,$C$5,$B$521:$B$560,C13)=1,IF(SUMIFS($E$521:$E$560,$C$521:$C$560,$C$5,$B$521:$B$560,C13)=1,IFERROR(INDEX($D$521:$D$560,MATCH(C13&amp;"|"&amp;$C$5,$H$521:$H$560,0)),""),SUMIFS($E$521:$E$560,$C$521:$C$560,$C$5,$B$521:$B$560,C13)&amp;"x"&amp;IFERROR(INDEX($D$521:$D$560,MATCH(C13&amp;"|"&amp;$C$5,$H$521:$H$560,0)),"")),SUMIFS($E$521:$E$560,$C$521:$C$560,$C$5,$B$521:$B$560,C13)&amp;" vols")&amp;")")))</f>
        <v>A320</v>
      </c>
      <c r="D12" s="17" t="str">
        <f aca="false">IF(D13="","",TRIM($P$17&amp;IF(SUMIFS($E$521:$E$560,$C$521:$C$560,$C$5,$B$521:$B$560,D13)=0,""," (+"&amp;IF(COUNTIFS($C$521:$C$560,$C$5,$B$521:$B$560,D13)=1,IF(SUMIFS($E$521:$E$560,$C$521:$C$560,$C$5,$B$521:$B$560,D13)=1,IFERROR(INDEX($D$521:$D$560,MATCH(D13&amp;"|"&amp;$C$5,$H$521:$H$560,0)),""),SUMIFS($E$521:$E$560,$C$521:$C$560,$C$5,$B$521:$B$560,D13)&amp;"x"&amp;IFERROR(INDEX($D$521:$D$560,MATCH(D13&amp;"|"&amp;$C$5,$H$521:$H$560,0)),"")),SUMIFS($E$521:$E$560,$C$521:$C$560,$C$5,$B$521:$B$560,D13)&amp;" vols")&amp;")")))</f>
        <v/>
      </c>
      <c r="E12" s="17" t="str">
        <f aca="false">IF(E13="","",TRIM($Q$17&amp;IF(SUMIFS($E$521:$E$560,$C$521:$C$560,$C$5,$B$521:$B$560,E13)=0,""," (+"&amp;IF(COUNTIFS($C$521:$C$560,$C$5,$B$521:$B$560,E13)=1,IF(SUMIFS($E$521:$E$560,$C$521:$C$560,$C$5,$B$521:$B$560,E13)=1,IFERROR(INDEX($D$521:$D$560,MATCH(E13&amp;"|"&amp;$C$5,$H$521:$H$560,0)),""),SUMIFS($E$521:$E$560,$C$521:$C$560,$C$5,$B$521:$B$560,E13)&amp;"x"&amp;IFERROR(INDEX($D$521:$D$560,MATCH(E13&amp;"|"&amp;$C$5,$H$521:$H$560,0)),"")),SUMIFS($E$521:$E$560,$C$521:$C$560,$C$5,$B$521:$B$560,E13)&amp;" vols")&amp;")")))</f>
        <v/>
      </c>
      <c r="F12" s="17" t="str">
        <f aca="false">IF(F13="","",TRIM($R$17&amp;IF(SUMIFS($E$521:$E$560,$C$521:$C$560,$C$5,$B$521:$B$560,F13)=0,""," (+"&amp;IF(COUNTIFS($C$521:$C$560,$C$5,$B$521:$B$560,F13)=1,IF(SUMIFS($E$521:$E$560,$C$521:$C$560,$C$5,$B$521:$B$560,F13)=1,IFERROR(INDEX($D$521:$D$560,MATCH(F13&amp;"|"&amp;$C$5,$H$521:$H$560,0)),""),SUMIFS($E$521:$E$560,$C$521:$C$560,$C$5,$B$521:$B$560,F13)&amp;"x"&amp;IFERROR(INDEX($D$521:$D$560,MATCH(F13&amp;"|"&amp;$C$5,$H$521:$H$560,0)),"")),SUMIFS($E$521:$E$560,$C$521:$C$560,$C$5,$B$521:$B$560,F13)&amp;" vols")&amp;")")))</f>
        <v>A320</v>
      </c>
      <c r="G12" s="17" t="str">
        <f aca="false">IF(G13="","",TRIM($S$17&amp;IF(SUMIFS($E$521:$E$560,$C$521:$C$560,$C$5,$B$521:$B$560,G13)=0,""," (+"&amp;IF(COUNTIFS($C$521:$C$560,$C$5,$B$521:$B$560,G13)=1,IF(SUMIFS($E$521:$E$560,$C$521:$C$560,$C$5,$B$521:$B$560,G13)=1,IFERROR(INDEX($D$521:$D$560,MATCH(G13&amp;"|"&amp;$C$5,$H$521:$H$560,0)),""),SUMIFS($E$521:$E$560,$C$521:$C$560,$C$5,$B$521:$B$560,G13)&amp;"x"&amp;IFERROR(INDEX($D$521:$D$560,MATCH(G13&amp;"|"&amp;$C$5,$H$521:$H$560,0)),"")),SUMIFS($E$521:$E$560,$C$521:$C$560,$C$5,$B$521:$B$560,G13)&amp;" vols")&amp;")")))</f>
        <v/>
      </c>
      <c r="H12" s="17" t="str">
        <f aca="false">IF(H13="","",TRIM($T$17&amp;IF(SUMIFS($E$521:$E$560,$C$521:$C$560,$C$5,$B$521:$B$560,H13)=0,""," (+"&amp;IF(COUNTIFS($C$521:$C$560,$C$5,$B$521:$B$560,H13)=1,IF(SUMIFS($E$521:$E$560,$C$521:$C$560,$C$5,$B$521:$B$560,H13)=1,IFERROR(INDEX($D$521:$D$560,MATCH(H13&amp;"|"&amp;$C$5,$H$521:$H$560,0)),""),SUMIFS($E$521:$E$560,$C$521:$C$560,$C$5,$B$521:$B$560,H13)&amp;"x"&amp;IFERROR(INDEX($D$521:$D$560,MATCH(H13&amp;"|"&amp;$C$5,$H$521:$H$560,0)),"")),SUMIFS($E$521:$E$560,$C$521:$C$560,$C$5,$B$521:$B$560,H13)&amp;" vols")&amp;")")))</f>
        <v>A320</v>
      </c>
      <c r="I12" s="17" t="str">
        <f aca="false">IF(I13="","",TRIM($U$17&amp;IF(SUMIFS($E$521:$E$560,$C$521:$C$560,$C$5,$B$521:$B$560,I13)=0,""," (+"&amp;IF(COUNTIFS($C$521:$C$560,$C$5,$B$521:$B$560,I13)=1,IF(SUMIFS($E$521:$E$560,$C$521:$C$560,$C$5,$B$521:$B$560,I13)=1,IFERROR(INDEX($D$521:$D$560,MATCH(I13&amp;"|"&amp;$C$5,$H$521:$H$560,0)),""),SUMIFS($E$521:$E$560,$C$521:$C$560,$C$5,$B$521:$B$560,I13)&amp;"x"&amp;IFERROR(INDEX($D$521:$D$560,MATCH(I13&amp;"|"&amp;$C$5,$H$521:$H$560,0)),"")),SUMIFS($E$521:$E$560,$C$521:$C$560,$C$5,$B$521:$B$560,I13)&amp;" vols")&amp;")")))</f>
        <v/>
      </c>
      <c r="N12" s="8" t="s">
        <v>50</v>
      </c>
      <c r="O12" s="15" t="n">
        <f aca="false">IFERROR(INDEX($K$25:$K$36,MATCH($C$5,$B$25:$B$36,0)),"")</f>
        <v>0</v>
      </c>
      <c r="W12" s="10" t="s">
        <v>51</v>
      </c>
      <c r="X12" s="11" t="n">
        <f aca="false">DATE(2027,12,1)</f>
        <v>46722</v>
      </c>
      <c r="Z12" s="12" t="s">
        <v>52</v>
      </c>
    </row>
    <row r="13" customFormat="false" ht="13.5" hidden="false" customHeight="true" outlineLevel="0" collapsed="false">
      <c r="B13" s="19" t="str">
        <f aca="false">IF(COUNT(C13:I13)=0,"","du "&amp;TEXT(MIN(C13:I13),"DD/MM")&amp;" au "&amp;TEXT(MAX(C13:I13),"DD/MM"))</f>
        <v>du 12/04 au 18/04</v>
      </c>
      <c r="C13" s="20" t="n">
        <f aca="false">IF(OR($O$6+14&lt;$O$4,$O$6+14&gt;$O$5),"",$O$6+14)</f>
        <v>46489</v>
      </c>
      <c r="D13" s="20" t="n">
        <f aca="false">IF(OR($O$6+15&lt;$O$4,$O$6+15&gt;$O$5),"",$O$6+15)</f>
        <v>46490</v>
      </c>
      <c r="E13" s="20" t="n">
        <f aca="false">IF(OR($O$6+16&lt;$O$4,$O$6+16&gt;$O$5),"",$O$6+16)</f>
        <v>46491</v>
      </c>
      <c r="F13" s="20" t="n">
        <f aca="false">IF(OR($O$6+17&lt;$O$4,$O$6+17&gt;$O$5),"",$O$6+17)</f>
        <v>46492</v>
      </c>
      <c r="G13" s="20" t="n">
        <f aca="false">IF(OR($O$6+18&lt;$O$4,$O$6+18&gt;$O$5),"",$O$6+18)</f>
        <v>46493</v>
      </c>
      <c r="H13" s="20" t="n">
        <f aca="false">IF(OR($O$6+19&lt;$O$4,$O$6+19&gt;$O$5),"",$O$6+19)</f>
        <v>46494</v>
      </c>
      <c r="I13" s="20" t="n">
        <f aca="false">IF(OR($O$6+20&lt;$O$4,$O$6+20&gt;$O$5),"",$O$6+20)</f>
        <v>46495</v>
      </c>
      <c r="N13" s="8" t="s">
        <v>53</v>
      </c>
      <c r="O13" s="15" t="n">
        <f aca="false">IFERROR(INDEX($L$25:$L$36,MATCH($C$5,$B$25:$B$36,0)),"")</f>
        <v>15</v>
      </c>
      <c r="W13" s="10" t="s">
        <v>54</v>
      </c>
      <c r="X13" s="11" t="n">
        <f aca="false">DATE(2028,1,1)</f>
        <v>46753</v>
      </c>
      <c r="Z13" s="12" t="s">
        <v>55</v>
      </c>
    </row>
    <row r="14" customFormat="false" ht="21.75" hidden="false" customHeight="true" outlineLevel="0" collapsed="false">
      <c r="B14" s="16" t="s">
        <v>56</v>
      </c>
      <c r="C14" s="17" t="str">
        <f aca="false">IF(C15="","",TRIM($O$17&amp;IF(SUMIFS($E$521:$E$560,$C$521:$C$560,$C$5,$B$521:$B$560,C15)=0,""," (+"&amp;IF(COUNTIFS($C$521:$C$560,$C$5,$B$521:$B$560,C15)=1,IF(SUMIFS($E$521:$E$560,$C$521:$C$560,$C$5,$B$521:$B$560,C15)=1,IFERROR(INDEX($D$521:$D$560,MATCH(C15&amp;"|"&amp;$C$5,$H$521:$H$560,0)),""),SUMIFS($E$521:$E$560,$C$521:$C$560,$C$5,$B$521:$B$560,C15)&amp;"x"&amp;IFERROR(INDEX($D$521:$D$560,MATCH(C15&amp;"|"&amp;$C$5,$H$521:$H$560,0)),"")),SUMIFS($E$521:$E$560,$C$521:$C$560,$C$5,$B$521:$B$560,C15)&amp;" vols")&amp;")")))</f>
        <v>A320</v>
      </c>
      <c r="D14" s="17" t="str">
        <f aca="false">IF(D15="","",TRIM($P$17&amp;IF(SUMIFS($E$521:$E$560,$C$521:$C$560,$C$5,$B$521:$B$560,D15)=0,""," (+"&amp;IF(COUNTIFS($C$521:$C$560,$C$5,$B$521:$B$560,D15)=1,IF(SUMIFS($E$521:$E$560,$C$521:$C$560,$C$5,$B$521:$B$560,D15)=1,IFERROR(INDEX($D$521:$D$560,MATCH(D15&amp;"|"&amp;$C$5,$H$521:$H$560,0)),""),SUMIFS($E$521:$E$560,$C$521:$C$560,$C$5,$B$521:$B$560,D15)&amp;"x"&amp;IFERROR(INDEX($D$521:$D$560,MATCH(D15&amp;"|"&amp;$C$5,$H$521:$H$560,0)),"")),SUMIFS($E$521:$E$560,$C$521:$C$560,$C$5,$B$521:$B$560,D15)&amp;" vols")&amp;")")))</f>
        <v/>
      </c>
      <c r="E14" s="17" t="str">
        <f aca="false">IF(E15="","",TRIM($Q$17&amp;IF(SUMIFS($E$521:$E$560,$C$521:$C$560,$C$5,$B$521:$B$560,E15)=0,""," (+"&amp;IF(COUNTIFS($C$521:$C$560,$C$5,$B$521:$B$560,E15)=1,IF(SUMIFS($E$521:$E$560,$C$521:$C$560,$C$5,$B$521:$B$560,E15)=1,IFERROR(INDEX($D$521:$D$560,MATCH(E15&amp;"|"&amp;$C$5,$H$521:$H$560,0)),""),SUMIFS($E$521:$E$560,$C$521:$C$560,$C$5,$B$521:$B$560,E15)&amp;"x"&amp;IFERROR(INDEX($D$521:$D$560,MATCH(E15&amp;"|"&amp;$C$5,$H$521:$H$560,0)),"")),SUMIFS($E$521:$E$560,$C$521:$C$560,$C$5,$B$521:$B$560,E15)&amp;" vols")&amp;")")))</f>
        <v/>
      </c>
      <c r="F14" s="17" t="str">
        <f aca="false">IF(F15="","",TRIM($R$17&amp;IF(SUMIFS($E$521:$E$560,$C$521:$C$560,$C$5,$B$521:$B$560,F15)=0,""," (+"&amp;IF(COUNTIFS($C$521:$C$560,$C$5,$B$521:$B$560,F15)=1,IF(SUMIFS($E$521:$E$560,$C$521:$C$560,$C$5,$B$521:$B$560,F15)=1,IFERROR(INDEX($D$521:$D$560,MATCH(F15&amp;"|"&amp;$C$5,$H$521:$H$560,0)),""),SUMIFS($E$521:$E$560,$C$521:$C$560,$C$5,$B$521:$B$560,F15)&amp;"x"&amp;IFERROR(INDEX($D$521:$D$560,MATCH(F15&amp;"|"&amp;$C$5,$H$521:$H$560,0)),"")),SUMIFS($E$521:$E$560,$C$521:$C$560,$C$5,$B$521:$B$560,F15)&amp;" vols")&amp;")")))</f>
        <v>A320</v>
      </c>
      <c r="G14" s="17" t="str">
        <f aca="false">IF(G15="","",TRIM($S$17&amp;IF(SUMIFS($E$521:$E$560,$C$521:$C$560,$C$5,$B$521:$B$560,G15)=0,""," (+"&amp;IF(COUNTIFS($C$521:$C$560,$C$5,$B$521:$B$560,G15)=1,IF(SUMIFS($E$521:$E$560,$C$521:$C$560,$C$5,$B$521:$B$560,G15)=1,IFERROR(INDEX($D$521:$D$560,MATCH(G15&amp;"|"&amp;$C$5,$H$521:$H$560,0)),""),SUMIFS($E$521:$E$560,$C$521:$C$560,$C$5,$B$521:$B$560,G15)&amp;"x"&amp;IFERROR(INDEX($D$521:$D$560,MATCH(G15&amp;"|"&amp;$C$5,$H$521:$H$560,0)),"")),SUMIFS($E$521:$E$560,$C$521:$C$560,$C$5,$B$521:$B$560,G15)&amp;" vols")&amp;")")))</f>
        <v/>
      </c>
      <c r="H14" s="17" t="str">
        <f aca="false">IF(H15="","",TRIM($T$17&amp;IF(SUMIFS($E$521:$E$560,$C$521:$C$560,$C$5,$B$521:$B$560,H15)=0,""," (+"&amp;IF(COUNTIFS($C$521:$C$560,$C$5,$B$521:$B$560,H15)=1,IF(SUMIFS($E$521:$E$560,$C$521:$C$560,$C$5,$B$521:$B$560,H15)=1,IFERROR(INDEX($D$521:$D$560,MATCH(H15&amp;"|"&amp;$C$5,$H$521:$H$560,0)),""),SUMIFS($E$521:$E$560,$C$521:$C$560,$C$5,$B$521:$B$560,H15)&amp;"x"&amp;IFERROR(INDEX($D$521:$D$560,MATCH(H15&amp;"|"&amp;$C$5,$H$521:$H$560,0)),"")),SUMIFS($E$521:$E$560,$C$521:$C$560,$C$5,$B$521:$B$560,H15)&amp;" vols")&amp;")")))</f>
        <v>A320</v>
      </c>
      <c r="I14" s="17" t="str">
        <f aca="false">IF(I15="","",TRIM($U$17&amp;IF(SUMIFS($E$521:$E$560,$C$521:$C$560,$C$5,$B$521:$B$560,I15)=0,""," (+"&amp;IF(COUNTIFS($C$521:$C$560,$C$5,$B$521:$B$560,I15)=1,IF(SUMIFS($E$521:$E$560,$C$521:$C$560,$C$5,$B$521:$B$560,I15)=1,IFERROR(INDEX($D$521:$D$560,MATCH(I15&amp;"|"&amp;$C$5,$H$521:$H$560,0)),""),SUMIFS($E$521:$E$560,$C$521:$C$560,$C$5,$B$521:$B$560,I15)&amp;"x"&amp;IFERROR(INDEX($D$521:$D$560,MATCH(I15&amp;"|"&amp;$C$5,$H$521:$H$560,0)),"")),SUMIFS($E$521:$E$560,$C$521:$C$560,$C$5,$B$521:$B$560,I15)&amp;" vols")&amp;")")))</f>
        <v/>
      </c>
      <c r="W14" s="10" t="s">
        <v>57</v>
      </c>
      <c r="X14" s="11" t="n">
        <f aca="false">DATE(2028,2,1)</f>
        <v>46784</v>
      </c>
      <c r="Z14" s="12" t="s">
        <v>58</v>
      </c>
    </row>
    <row r="15" customFormat="false" ht="13.5" hidden="false" customHeight="true" outlineLevel="0" collapsed="false">
      <c r="B15" s="19" t="str">
        <f aca="false">IF(COUNT(C15:I15)=0,"","du "&amp;TEXT(MIN(C15:I15),"DD/MM")&amp;" au "&amp;TEXT(MAX(C15:I15),"DD/MM"))</f>
        <v>du 19/04 au 25/04</v>
      </c>
      <c r="C15" s="20" t="n">
        <f aca="false">IF(OR($O$6+21&lt;$O$4,$O$6+21&gt;$O$5),"",$O$6+21)</f>
        <v>46496</v>
      </c>
      <c r="D15" s="20" t="n">
        <f aca="false">IF(OR($O$6+22&lt;$O$4,$O$6+22&gt;$O$5),"",$O$6+22)</f>
        <v>46497</v>
      </c>
      <c r="E15" s="20" t="n">
        <f aca="false">IF(OR($O$6+23&lt;$O$4,$O$6+23&gt;$O$5),"",$O$6+23)</f>
        <v>46498</v>
      </c>
      <c r="F15" s="20" t="n">
        <f aca="false">IF(OR($O$6+24&lt;$O$4,$O$6+24&gt;$O$5),"",$O$6+24)</f>
        <v>46499</v>
      </c>
      <c r="G15" s="20" t="n">
        <f aca="false">IF(OR($O$6+25&lt;$O$4,$O$6+25&gt;$O$5),"",$O$6+25)</f>
        <v>46500</v>
      </c>
      <c r="H15" s="20" t="n">
        <f aca="false">IF(OR($O$6+26&lt;$O$4,$O$6+26&gt;$O$5),"",$O$6+26)</f>
        <v>46501</v>
      </c>
      <c r="I15" s="20" t="n">
        <f aca="false">IF(OR($O$6+27&lt;$O$4,$O$6+27&gt;$O$5),"",$O$6+27)</f>
        <v>46502</v>
      </c>
      <c r="N15" s="23" t="s">
        <v>59</v>
      </c>
      <c r="O15" s="23"/>
      <c r="P15" s="23"/>
      <c r="Q15" s="23"/>
      <c r="R15" s="23"/>
      <c r="S15" s="23"/>
      <c r="T15" s="23"/>
      <c r="U15" s="23"/>
      <c r="W15" s="10" t="s">
        <v>60</v>
      </c>
      <c r="X15" s="11" t="n">
        <f aca="false">DATE(2028,3,1)</f>
        <v>46813</v>
      </c>
      <c r="Z15" s="12" t="s">
        <v>61</v>
      </c>
    </row>
    <row r="16" customFormat="false" ht="21.75" hidden="false" customHeight="true" outlineLevel="0" collapsed="false">
      <c r="B16" s="16" t="s">
        <v>62</v>
      </c>
      <c r="C16" s="17" t="str">
        <f aca="false">IF(C17="","",TRIM($O$17&amp;IF(SUMIFS($E$521:$E$560,$C$521:$C$560,$C$5,$B$521:$B$560,C17)=0,""," (+"&amp;IF(COUNTIFS($C$521:$C$560,$C$5,$B$521:$B$560,C17)=1,IF(SUMIFS($E$521:$E$560,$C$521:$C$560,$C$5,$B$521:$B$560,C17)=1,IFERROR(INDEX($D$521:$D$560,MATCH(C17&amp;"|"&amp;$C$5,$H$521:$H$560,0)),""),SUMIFS($E$521:$E$560,$C$521:$C$560,$C$5,$B$521:$B$560,C17)&amp;"x"&amp;IFERROR(INDEX($D$521:$D$560,MATCH(C17&amp;"|"&amp;$C$5,$H$521:$H$560,0)),"")),SUMIFS($E$521:$E$560,$C$521:$C$560,$C$5,$B$521:$B$560,C17)&amp;" vols")&amp;")")))</f>
        <v>A320</v>
      </c>
      <c r="D16" s="17" t="str">
        <f aca="false">IF(D17="","",TRIM($P$17&amp;IF(SUMIFS($E$521:$E$560,$C$521:$C$560,$C$5,$B$521:$B$560,D17)=0,""," (+"&amp;IF(COUNTIFS($C$521:$C$560,$C$5,$B$521:$B$560,D17)=1,IF(SUMIFS($E$521:$E$560,$C$521:$C$560,$C$5,$B$521:$B$560,D17)=1,IFERROR(INDEX($D$521:$D$560,MATCH(D17&amp;"|"&amp;$C$5,$H$521:$H$560,0)),""),SUMIFS($E$521:$E$560,$C$521:$C$560,$C$5,$B$521:$B$560,D17)&amp;"x"&amp;IFERROR(INDEX($D$521:$D$560,MATCH(D17&amp;"|"&amp;$C$5,$H$521:$H$560,0)),"")),SUMIFS($E$521:$E$560,$C$521:$C$560,$C$5,$B$521:$B$560,D17)&amp;" vols")&amp;")")))</f>
        <v/>
      </c>
      <c r="E16" s="17" t="str">
        <f aca="false">IF(E17="","",TRIM($Q$17&amp;IF(SUMIFS($E$521:$E$560,$C$521:$C$560,$C$5,$B$521:$B$560,E17)=0,""," (+"&amp;IF(COUNTIFS($C$521:$C$560,$C$5,$B$521:$B$560,E17)=1,IF(SUMIFS($E$521:$E$560,$C$521:$C$560,$C$5,$B$521:$B$560,E17)=1,IFERROR(INDEX($D$521:$D$560,MATCH(E17&amp;"|"&amp;$C$5,$H$521:$H$560,0)),""),SUMIFS($E$521:$E$560,$C$521:$C$560,$C$5,$B$521:$B$560,E17)&amp;"x"&amp;IFERROR(INDEX($D$521:$D$560,MATCH(E17&amp;"|"&amp;$C$5,$H$521:$H$560,0)),"")),SUMIFS($E$521:$E$560,$C$521:$C$560,$C$5,$B$521:$B$560,E17)&amp;" vols")&amp;")")))</f>
        <v/>
      </c>
      <c r="F16" s="17" t="str">
        <f aca="false">IF(F17="","",TRIM($R$17&amp;IF(SUMIFS($E$521:$E$560,$C$521:$C$560,$C$5,$B$521:$B$560,F17)=0,""," (+"&amp;IF(COUNTIFS($C$521:$C$560,$C$5,$B$521:$B$560,F17)=1,IF(SUMIFS($E$521:$E$560,$C$521:$C$560,$C$5,$B$521:$B$560,F17)=1,IFERROR(INDEX($D$521:$D$560,MATCH(F17&amp;"|"&amp;$C$5,$H$521:$H$560,0)),""),SUMIFS($E$521:$E$560,$C$521:$C$560,$C$5,$B$521:$B$560,F17)&amp;"x"&amp;IFERROR(INDEX($D$521:$D$560,MATCH(F17&amp;"|"&amp;$C$5,$H$521:$H$560,0)),"")),SUMIFS($E$521:$E$560,$C$521:$C$560,$C$5,$B$521:$B$560,F17)&amp;" vols")&amp;")")))</f>
        <v>A320</v>
      </c>
      <c r="G16" s="17" t="str">
        <f aca="false">IF(G17="","",TRIM($S$17&amp;IF(SUMIFS($E$521:$E$560,$C$521:$C$560,$C$5,$B$521:$B$560,G17)=0,""," (+"&amp;IF(COUNTIFS($C$521:$C$560,$C$5,$B$521:$B$560,G17)=1,IF(SUMIFS($E$521:$E$560,$C$521:$C$560,$C$5,$B$521:$B$560,G17)=1,IFERROR(INDEX($D$521:$D$560,MATCH(G17&amp;"|"&amp;$C$5,$H$521:$H$560,0)),""),SUMIFS($E$521:$E$560,$C$521:$C$560,$C$5,$B$521:$B$560,G17)&amp;"x"&amp;IFERROR(INDEX($D$521:$D$560,MATCH(G17&amp;"|"&amp;$C$5,$H$521:$H$560,0)),"")),SUMIFS($E$521:$E$560,$C$521:$C$560,$C$5,$B$521:$B$560,G17)&amp;" vols")&amp;")")))</f>
        <v/>
      </c>
      <c r="H16" s="17" t="str">
        <f aca="false">IF(H17="","",TRIM($T$17&amp;IF(SUMIFS($E$521:$E$560,$C$521:$C$560,$C$5,$B$521:$B$560,H17)=0,""," (+"&amp;IF(COUNTIFS($C$521:$C$560,$C$5,$B$521:$B$560,H17)=1,IF(SUMIFS($E$521:$E$560,$C$521:$C$560,$C$5,$B$521:$B$560,H17)=1,IFERROR(INDEX($D$521:$D$560,MATCH(H17&amp;"|"&amp;$C$5,$H$521:$H$560,0)),""),SUMIFS($E$521:$E$560,$C$521:$C$560,$C$5,$B$521:$B$560,H17)&amp;"x"&amp;IFERROR(INDEX($D$521:$D$560,MATCH(H17&amp;"|"&amp;$C$5,$H$521:$H$560,0)),"")),SUMIFS($E$521:$E$560,$C$521:$C$560,$C$5,$B$521:$B$560,H17)&amp;" vols")&amp;")")))</f>
        <v/>
      </c>
      <c r="I16" s="17" t="str">
        <f aca="false">IF(I17="","",TRIM($U$17&amp;IF(SUMIFS($E$521:$E$560,$C$521:$C$560,$C$5,$B$521:$B$560,I17)=0,""," (+"&amp;IF(COUNTIFS($C$521:$C$560,$C$5,$B$521:$B$560,I17)=1,IF(SUMIFS($E$521:$E$560,$C$521:$C$560,$C$5,$B$521:$B$560,I17)=1,IFERROR(INDEX($D$521:$D$560,MATCH(I17&amp;"|"&amp;$C$5,$H$521:$H$560,0)),""),SUMIFS($E$521:$E$560,$C$521:$C$560,$C$5,$B$521:$B$560,I17)&amp;"x"&amp;IFERROR(INDEX($D$521:$D$560,MATCH(I17&amp;"|"&amp;$C$5,$H$521:$H$560,0)),"")),SUMIFS($E$521:$E$560,$C$521:$C$560,$C$5,$B$521:$B$560,I17)&amp;" vols")&amp;")")))</f>
        <v/>
      </c>
      <c r="N16" s="24" t="s">
        <v>63</v>
      </c>
      <c r="O16" s="24" t="s">
        <v>64</v>
      </c>
      <c r="P16" s="24" t="s">
        <v>65</v>
      </c>
      <c r="Q16" s="24" t="s">
        <v>66</v>
      </c>
      <c r="R16" s="24" t="s">
        <v>67</v>
      </c>
      <c r="S16" s="24" t="s">
        <v>68</v>
      </c>
      <c r="T16" s="24" t="s">
        <v>69</v>
      </c>
      <c r="U16" s="24" t="s">
        <v>70</v>
      </c>
    </row>
    <row r="17" customFormat="false" ht="13.5" hidden="false" customHeight="true" outlineLevel="0" collapsed="false">
      <c r="B17" s="19" t="str">
        <f aca="false">IF(COUNT(C17:I17)=0,"","du "&amp;TEXT(MIN(C17:I17),"DD/MM")&amp;" au "&amp;TEXT(MAX(C17:I17),"DD/MM"))</f>
        <v>du 26/04 au 30/04</v>
      </c>
      <c r="C17" s="20" t="n">
        <f aca="false">IF(OR($O$6+28&lt;$O$4,$O$6+28&gt;$O$5),"",$O$6+28)</f>
        <v>46503</v>
      </c>
      <c r="D17" s="20" t="n">
        <f aca="false">IF(OR($O$6+29&lt;$O$4,$O$6+29&gt;$O$5),"",$O$6+29)</f>
        <v>46504</v>
      </c>
      <c r="E17" s="20" t="n">
        <f aca="false">IF(OR($O$6+30&lt;$O$4,$O$6+30&gt;$O$5),"",$O$6+30)</f>
        <v>46505</v>
      </c>
      <c r="F17" s="20" t="n">
        <f aca="false">IF(OR($O$6+31&lt;$O$4,$O$6+31&gt;$O$5),"",$O$6+31)</f>
        <v>46506</v>
      </c>
      <c r="G17" s="20" t="n">
        <f aca="false">IF(OR($O$6+32&lt;$O$4,$O$6+32&gt;$O$5),"",$O$6+32)</f>
        <v>46507</v>
      </c>
      <c r="H17" s="20" t="str">
        <f aca="false">IF(OR($O$6+33&lt;$O$4,$O$6+33&gt;$O$5),"",$O$6+33)</f>
        <v/>
      </c>
      <c r="I17" s="20" t="str">
        <f aca="false">IF(OR($O$6+34&lt;$O$4,$O$6+34&gt;$O$5),"",$O$6+34)</f>
        <v/>
      </c>
      <c r="N17" s="25" t="s">
        <v>71</v>
      </c>
      <c r="O17" s="18" t="str">
        <f aca="false">IF(O$18="","","77W")&amp;IF(O$19="","",IF(O$18="","","/")&amp;"778")&amp;IF(O$20="","",IF(AND(O$18="",O$19=""),"","/")&amp;"A320")</f>
        <v>A320</v>
      </c>
      <c r="P17" s="18" t="str">
        <f aca="false">IF(P$18="","","77W")&amp;IF(P$19="","",IF(P$18="","","/")&amp;"778")&amp;IF(P$20="","",IF(AND(P$18="",P$19=""),"","/")&amp;"A320")</f>
        <v/>
      </c>
      <c r="Q17" s="18" t="str">
        <f aca="false">IF(Q$18="","","77W")&amp;IF(Q$19="","",IF(Q$18="","","/")&amp;"778")&amp;IF(Q$20="","",IF(AND(Q$18="",Q$19=""),"","/")&amp;"A320")</f>
        <v/>
      </c>
      <c r="R17" s="18" t="str">
        <f aca="false">IF(R$18="","","77W")&amp;IF(R$19="","",IF(R$18="","","/")&amp;"778")&amp;IF(R$20="","",IF(AND(R$18="",R$19=""),"","/")&amp;"A320")</f>
        <v>A320</v>
      </c>
      <c r="S17" s="18" t="str">
        <f aca="false">IF(S$18="","","77W")&amp;IF(S$19="","",IF(S$18="","","/")&amp;"778")&amp;IF(S$20="","",IF(AND(S$18="",S$19=""),"","/")&amp;"A320")</f>
        <v/>
      </c>
      <c r="T17" s="18" t="str">
        <f aca="false">IF(T$18="","","77W")&amp;IF(T$19="","",IF(T$18="","","/")&amp;"778")&amp;IF(T$20="","",IF(AND(T$18="",T$19=""),"","/")&amp;"A320")</f>
        <v>A320</v>
      </c>
      <c r="U17" s="18" t="str">
        <f aca="false">IF(U$18="","","77W")&amp;IF(U$19="","",IF(U$18="","","/")&amp;"778")&amp;IF(U$20="","",IF(AND(U$18="",U$19=""),"","/")&amp;"A320")</f>
        <v/>
      </c>
    </row>
    <row r="18" customFormat="false" ht="21.75" hidden="false" customHeight="true" outlineLevel="0" collapsed="false">
      <c r="B18" s="16" t="s">
        <v>72</v>
      </c>
      <c r="C18" s="17" t="str">
        <f aca="false">IF(C19="","",TRIM($O$17&amp;IF(SUMIFS($E$521:$E$560,$C$521:$C$560,$C$5,$B$521:$B$560,C19)=0,""," (+"&amp;IF(COUNTIFS($C$521:$C$560,$C$5,$B$521:$B$560,C19)=1,IF(SUMIFS($E$521:$E$560,$C$521:$C$560,$C$5,$B$521:$B$560,C19)=1,IFERROR(INDEX($D$521:$D$560,MATCH(C19&amp;"|"&amp;$C$5,$H$521:$H$560,0)),""),SUMIFS($E$521:$E$560,$C$521:$C$560,$C$5,$B$521:$B$560,C19)&amp;"x"&amp;IFERROR(INDEX($D$521:$D$560,MATCH(C19&amp;"|"&amp;$C$5,$H$521:$H$560,0)),"")),SUMIFS($E$521:$E$560,$C$521:$C$560,$C$5,$B$521:$B$560,C19)&amp;" vols")&amp;")")))</f>
        <v/>
      </c>
      <c r="D18" s="17" t="str">
        <f aca="false">IF(D19="","",TRIM($P$17&amp;IF(SUMIFS($E$521:$E$560,$C$521:$C$560,$C$5,$B$521:$B$560,D19)=0,""," (+"&amp;IF(COUNTIFS($C$521:$C$560,$C$5,$B$521:$B$560,D19)=1,IF(SUMIFS($E$521:$E$560,$C$521:$C$560,$C$5,$B$521:$B$560,D19)=1,IFERROR(INDEX($D$521:$D$560,MATCH(D19&amp;"|"&amp;$C$5,$H$521:$H$560,0)),""),SUMIFS($E$521:$E$560,$C$521:$C$560,$C$5,$B$521:$B$560,D19)&amp;"x"&amp;IFERROR(INDEX($D$521:$D$560,MATCH(D19&amp;"|"&amp;$C$5,$H$521:$H$560,0)),"")),SUMIFS($E$521:$E$560,$C$521:$C$560,$C$5,$B$521:$B$560,D19)&amp;" vols")&amp;")")))</f>
        <v/>
      </c>
      <c r="E18" s="17" t="str">
        <f aca="false">IF(E19="","",TRIM($Q$17&amp;IF(SUMIFS($E$521:$E$560,$C$521:$C$560,$C$5,$B$521:$B$560,E19)=0,""," (+"&amp;IF(COUNTIFS($C$521:$C$560,$C$5,$B$521:$B$560,E19)=1,IF(SUMIFS($E$521:$E$560,$C$521:$C$560,$C$5,$B$521:$B$560,E19)=1,IFERROR(INDEX($D$521:$D$560,MATCH(E19&amp;"|"&amp;$C$5,$H$521:$H$560,0)),""),SUMIFS($E$521:$E$560,$C$521:$C$560,$C$5,$B$521:$B$560,E19)&amp;"x"&amp;IFERROR(INDEX($D$521:$D$560,MATCH(E19&amp;"|"&amp;$C$5,$H$521:$H$560,0)),"")),SUMIFS($E$521:$E$560,$C$521:$C$560,$C$5,$B$521:$B$560,E19)&amp;" vols")&amp;")")))</f>
        <v/>
      </c>
      <c r="F18" s="17" t="str">
        <f aca="false">IF(F19="","",TRIM($R$17&amp;IF(SUMIFS($E$521:$E$560,$C$521:$C$560,$C$5,$B$521:$B$560,F19)=0,""," (+"&amp;IF(COUNTIFS($C$521:$C$560,$C$5,$B$521:$B$560,F19)=1,IF(SUMIFS($E$521:$E$560,$C$521:$C$560,$C$5,$B$521:$B$560,F19)=1,IFERROR(INDEX($D$521:$D$560,MATCH(F19&amp;"|"&amp;$C$5,$H$521:$H$560,0)),""),SUMIFS($E$521:$E$560,$C$521:$C$560,$C$5,$B$521:$B$560,F19)&amp;"x"&amp;IFERROR(INDEX($D$521:$D$560,MATCH(F19&amp;"|"&amp;$C$5,$H$521:$H$560,0)),"")),SUMIFS($E$521:$E$560,$C$521:$C$560,$C$5,$B$521:$B$560,F19)&amp;" vols")&amp;")")))</f>
        <v/>
      </c>
      <c r="G18" s="17" t="str">
        <f aca="false">IF(G19="","",TRIM($S$17&amp;IF(SUMIFS($E$521:$E$560,$C$521:$C$560,$C$5,$B$521:$B$560,G19)=0,""," (+"&amp;IF(COUNTIFS($C$521:$C$560,$C$5,$B$521:$B$560,G19)=1,IF(SUMIFS($E$521:$E$560,$C$521:$C$560,$C$5,$B$521:$B$560,G19)=1,IFERROR(INDEX($D$521:$D$560,MATCH(G19&amp;"|"&amp;$C$5,$H$521:$H$560,0)),""),SUMIFS($E$521:$E$560,$C$521:$C$560,$C$5,$B$521:$B$560,G19)&amp;"x"&amp;IFERROR(INDEX($D$521:$D$560,MATCH(G19&amp;"|"&amp;$C$5,$H$521:$H$560,0)),"")),SUMIFS($E$521:$E$560,$C$521:$C$560,$C$5,$B$521:$B$560,G19)&amp;" vols")&amp;")")))</f>
        <v/>
      </c>
      <c r="H18" s="17" t="str">
        <f aca="false">IF(H19="","",TRIM($T$17&amp;IF(SUMIFS($E$521:$E$560,$C$521:$C$560,$C$5,$B$521:$B$560,H19)=0,""," (+"&amp;IF(COUNTIFS($C$521:$C$560,$C$5,$B$521:$B$560,H19)=1,IF(SUMIFS($E$521:$E$560,$C$521:$C$560,$C$5,$B$521:$B$560,H19)=1,IFERROR(INDEX($D$521:$D$560,MATCH(H19&amp;"|"&amp;$C$5,$H$521:$H$560,0)),""),SUMIFS($E$521:$E$560,$C$521:$C$560,$C$5,$B$521:$B$560,H19)&amp;"x"&amp;IFERROR(INDEX($D$521:$D$560,MATCH(H19&amp;"|"&amp;$C$5,$H$521:$H$560,0)),"")),SUMIFS($E$521:$E$560,$C$521:$C$560,$C$5,$B$521:$B$560,H19)&amp;" vols")&amp;")")))</f>
        <v/>
      </c>
      <c r="I18" s="17" t="str">
        <f aca="false">IF(I19="","",TRIM($U$17&amp;IF(SUMIFS($E$521:$E$560,$C$521:$C$560,$C$5,$B$521:$B$560,I19)=0,""," (+"&amp;IF(COUNTIFS($C$521:$C$560,$C$5,$B$521:$B$560,I19)=1,IF(SUMIFS($E$521:$E$560,$C$521:$C$560,$C$5,$B$521:$B$560,I19)=1,IFERROR(INDEX($D$521:$D$560,MATCH(I19&amp;"|"&amp;$C$5,$H$521:$H$560,0)),""),SUMIFS($E$521:$E$560,$C$521:$C$560,$C$5,$B$521:$B$560,I19)&amp;"x"&amp;IFERROR(INDEX($D$521:$D$560,MATCH(I19&amp;"|"&amp;$C$5,$H$521:$H$560,0)),"")),SUMIFS($E$521:$E$560,$C$521:$C$560,$C$5,$B$521:$B$560,I19)&amp;" vols")&amp;")")))</f>
        <v/>
      </c>
      <c r="N18" s="26" t="s">
        <v>73</v>
      </c>
      <c r="O18" s="27" t="str">
        <f aca="false">IFERROR(INDEX($O$24:$U$59,(MATCH($C$5,$Z$4:$Z$15,0)-1)*3+1,1)&amp;"","")</f>
        <v/>
      </c>
      <c r="P18" s="27" t="str">
        <f aca="false">IFERROR(INDEX($O$24:$U$59,(MATCH($C$5,$Z$4:$Z$15,0)-1)*3+1,2)&amp;"","")</f>
        <v/>
      </c>
      <c r="Q18" s="27" t="str">
        <f aca="false">IFERROR(INDEX($O$24:$U$59,(MATCH($C$5,$Z$4:$Z$15,0)-1)*3+1,3)&amp;"","")</f>
        <v/>
      </c>
      <c r="R18" s="27" t="str">
        <f aca="false">IFERROR(INDEX($O$24:$U$59,(MATCH($C$5,$Z$4:$Z$15,0)-1)*3+1,4)&amp;"","")</f>
        <v/>
      </c>
      <c r="S18" s="27" t="str">
        <f aca="false">IFERROR(INDEX($O$24:$U$59,(MATCH($C$5,$Z$4:$Z$15,0)-1)*3+1,5)&amp;"","")</f>
        <v/>
      </c>
      <c r="T18" s="27" t="str">
        <f aca="false">IFERROR(INDEX($O$24:$U$59,(MATCH($C$5,$Z$4:$Z$15,0)-1)*3+1,6)&amp;"","")</f>
        <v/>
      </c>
      <c r="U18" s="27" t="str">
        <f aca="false">IFERROR(INDEX($O$24:$U$59,(MATCH($C$5,$Z$4:$Z$15,0)-1)*3+1,7)&amp;"","")</f>
        <v/>
      </c>
    </row>
    <row r="19" customFormat="false" ht="13.5" hidden="false" customHeight="true" outlineLevel="0" collapsed="false">
      <c r="B19" s="19" t="str">
        <f aca="false">IF(COUNT(C19:I19)=0,"","du "&amp;TEXT(MIN(C19:I19),"DD/MM")&amp;" au "&amp;TEXT(MAX(C19:I19),"DD/MM"))</f>
        <v/>
      </c>
      <c r="C19" s="20" t="str">
        <f aca="false">IF(OR($O$6+35&lt;$O$4,$O$6+35&gt;$O$5),"",$O$6+35)</f>
        <v/>
      </c>
      <c r="D19" s="20" t="str">
        <f aca="false">IF(OR($O$6+36&lt;$O$4,$O$6+36&gt;$O$5),"",$O$6+36)</f>
        <v/>
      </c>
      <c r="E19" s="20" t="str">
        <f aca="false">IF(OR($O$6+37&lt;$O$4,$O$6+37&gt;$O$5),"",$O$6+37)</f>
        <v/>
      </c>
      <c r="F19" s="20" t="str">
        <f aca="false">IF(OR($O$6+38&lt;$O$4,$O$6+38&gt;$O$5),"",$O$6+38)</f>
        <v/>
      </c>
      <c r="G19" s="20" t="str">
        <f aca="false">IF(OR($O$6+39&lt;$O$4,$O$6+39&gt;$O$5),"",$O$6+39)</f>
        <v/>
      </c>
      <c r="H19" s="20" t="str">
        <f aca="false">IF(OR($O$6+40&lt;$O$4,$O$6+40&gt;$O$5),"",$O$6+40)</f>
        <v/>
      </c>
      <c r="I19" s="20" t="str">
        <f aca="false">IF(OR($O$6+41&lt;$O$4,$O$6+41&gt;$O$5),"",$O$6+41)</f>
        <v/>
      </c>
      <c r="N19" s="26" t="s">
        <v>74</v>
      </c>
      <c r="O19" s="27" t="str">
        <f aca="false">IFERROR(INDEX($O$24:$U$59,(MATCH($C$5,$Z$4:$Z$15,0)-1)*3+2,1)&amp;"","")</f>
        <v/>
      </c>
      <c r="P19" s="27" t="str">
        <f aca="false">IFERROR(INDEX($O$24:$U$59,(MATCH($C$5,$Z$4:$Z$15,0)-1)*3+2,2)&amp;"","")</f>
        <v/>
      </c>
      <c r="Q19" s="27" t="str">
        <f aca="false">IFERROR(INDEX($O$24:$U$59,(MATCH($C$5,$Z$4:$Z$15,0)-1)*3+2,3)&amp;"","")</f>
        <v/>
      </c>
      <c r="R19" s="27" t="str">
        <f aca="false">IFERROR(INDEX($O$24:$U$59,(MATCH($C$5,$Z$4:$Z$15,0)-1)*3+2,4)&amp;"","")</f>
        <v/>
      </c>
      <c r="S19" s="27" t="str">
        <f aca="false">IFERROR(INDEX($O$24:$U$59,(MATCH($C$5,$Z$4:$Z$15,0)-1)*3+2,5)&amp;"","")</f>
        <v/>
      </c>
      <c r="T19" s="27" t="str">
        <f aca="false">IFERROR(INDEX($O$24:$U$59,(MATCH($C$5,$Z$4:$Z$15,0)-1)*3+2,6)&amp;"","")</f>
        <v/>
      </c>
      <c r="U19" s="27" t="str">
        <f aca="false">IFERROR(INDEX($O$24:$U$59,(MATCH($C$5,$Z$4:$Z$15,0)-1)*3+2,7)&amp;"","")</f>
        <v/>
      </c>
    </row>
    <row r="20" customFormat="false" ht="15" hidden="false" customHeight="false" outlineLevel="0" collapsed="false">
      <c r="B20" s="28" t="s">
        <v>75</v>
      </c>
      <c r="C20" s="29" t="n">
        <f aca="false">COUNT(C9,C11,C13,C15,C17,C19)</f>
        <v>4</v>
      </c>
      <c r="D20" s="29" t="n">
        <f aca="false">COUNT(D9,D11,D13,D15,D17,D19)</f>
        <v>4</v>
      </c>
      <c r="E20" s="29" t="n">
        <f aca="false">COUNT(E9,E11,E13,E15,E17,E19)</f>
        <v>4</v>
      </c>
      <c r="F20" s="29" t="n">
        <f aca="false">COUNT(F9,F11,F13,F15,F17,F19)</f>
        <v>5</v>
      </c>
      <c r="G20" s="29" t="n">
        <f aca="false">COUNT(G9,G11,G13,G15,G17,G19)</f>
        <v>5</v>
      </c>
      <c r="H20" s="29" t="n">
        <f aca="false">COUNT(H9,H11,H13,H15,H17,H19)</f>
        <v>4</v>
      </c>
      <c r="I20" s="29" t="n">
        <f aca="false">COUNT(I9,I11,I13,I15,I17,I19)</f>
        <v>4</v>
      </c>
      <c r="N20" s="26" t="s">
        <v>76</v>
      </c>
      <c r="O20" s="27" t="str">
        <f aca="false">IFERROR(INDEX($O$24:$U$59,(MATCH($C$5,$Z$4:$Z$15,0)-1)*3+3,1)&amp;"","")</f>
        <v>x</v>
      </c>
      <c r="P20" s="27" t="str">
        <f aca="false">IFERROR(INDEX($O$24:$U$59,(MATCH($C$5,$Z$4:$Z$15,0)-1)*3+3,2)&amp;"","")</f>
        <v/>
      </c>
      <c r="Q20" s="27" t="str">
        <f aca="false">IFERROR(INDEX($O$24:$U$59,(MATCH($C$5,$Z$4:$Z$15,0)-1)*3+3,3)&amp;"","")</f>
        <v/>
      </c>
      <c r="R20" s="27" t="str">
        <f aca="false">IFERROR(INDEX($O$24:$U$59,(MATCH($C$5,$Z$4:$Z$15,0)-1)*3+3,4)&amp;"","")</f>
        <v>x</v>
      </c>
      <c r="S20" s="27" t="str">
        <f aca="false">IFERROR(INDEX($O$24:$U$59,(MATCH($C$5,$Z$4:$Z$15,0)-1)*3+3,5)&amp;"","")</f>
        <v/>
      </c>
      <c r="T20" s="27" t="str">
        <f aca="false">IFERROR(INDEX($O$24:$U$59,(MATCH($C$5,$Z$4:$Z$15,0)-1)*3+3,6)&amp;"","")</f>
        <v>x</v>
      </c>
      <c r="U20" s="27" t="str">
        <f aca="false">IFERROR(INDEX($O$24:$U$59,(MATCH($C$5,$Z$4:$Z$15,0)-1)*3+3,7)&amp;"","")</f>
        <v/>
      </c>
    </row>
    <row r="21" customFormat="false" ht="15" hidden="false" customHeight="false" outlineLevel="0" collapsed="false">
      <c r="B21" s="28" t="s">
        <v>77</v>
      </c>
      <c r="C21" s="29" t="n">
        <f aca="false">IF(COUNT(C9:I9)&gt;0,1,0)+IF(COUNT(C11:I11)&gt;0,1,0)+IF(COUNT(C13:I13)&gt;0,1,0)+IF(COUNT(C15:I15)&gt;0,1,0)+IF(COUNT(C17:I17)&gt;0,1,0)+IF(COUNT(C19:I19)&gt;0,1,0)</f>
        <v>5</v>
      </c>
      <c r="D21" s="30" t="s">
        <v>78</v>
      </c>
      <c r="E21" s="30"/>
      <c r="F21" s="30"/>
      <c r="G21" s="30"/>
      <c r="H21" s="30"/>
      <c r="I21" s="30"/>
    </row>
    <row r="22" customFormat="false" ht="15" hidden="false" customHeight="false" outlineLevel="0" collapsed="false">
      <c r="N22" s="23" t="s">
        <v>79</v>
      </c>
      <c r="O22" s="23"/>
      <c r="P22" s="23"/>
      <c r="Q22" s="23"/>
      <c r="R22" s="23"/>
      <c r="S22" s="23"/>
      <c r="T22" s="23"/>
      <c r="U22" s="23"/>
    </row>
    <row r="23" customFormat="false" ht="15" hidden="false" customHeight="false" outlineLevel="0" collapsed="false">
      <c r="B23" s="13" t="s">
        <v>80</v>
      </c>
      <c r="C23" s="13"/>
      <c r="D23" s="13"/>
      <c r="E23" s="13"/>
      <c r="F23" s="13"/>
      <c r="G23" s="13"/>
      <c r="H23" s="13"/>
      <c r="I23" s="13"/>
      <c r="J23" s="13"/>
      <c r="K23" s="13"/>
      <c r="L23" s="13"/>
      <c r="N23" s="24" t="s">
        <v>81</v>
      </c>
      <c r="O23" s="24" t="s">
        <v>64</v>
      </c>
      <c r="P23" s="24" t="s">
        <v>65</v>
      </c>
      <c r="Q23" s="24" t="s">
        <v>66</v>
      </c>
      <c r="R23" s="24" t="s">
        <v>67</v>
      </c>
      <c r="S23" s="24" t="s">
        <v>68</v>
      </c>
      <c r="T23" s="24" t="s">
        <v>69</v>
      </c>
      <c r="U23" s="24" t="s">
        <v>70</v>
      </c>
    </row>
    <row r="24" customFormat="false" ht="43.5" hidden="false" customHeight="true" outlineLevel="0" collapsed="false">
      <c r="B24" s="31" t="s">
        <v>82</v>
      </c>
      <c r="C24" s="31" t="s">
        <v>37</v>
      </c>
      <c r="D24" s="31" t="s">
        <v>83</v>
      </c>
      <c r="E24" s="31" t="s">
        <v>84</v>
      </c>
      <c r="F24" s="31" t="s">
        <v>85</v>
      </c>
      <c r="G24" s="31" t="s">
        <v>43</v>
      </c>
      <c r="H24" s="31" t="s">
        <v>86</v>
      </c>
      <c r="I24" s="31" t="s">
        <v>87</v>
      </c>
      <c r="J24" s="31" t="s">
        <v>88</v>
      </c>
      <c r="K24" s="31" t="s">
        <v>89</v>
      </c>
      <c r="L24" s="31" t="s">
        <v>90</v>
      </c>
      <c r="N24" s="10" t="s">
        <v>91</v>
      </c>
      <c r="O24" s="12" t="str">
        <f aca="false">IFERROR(INDEX($D$49:$J$513,($O$7-1)*39+1,1)&amp;"","")</f>
        <v>x</v>
      </c>
      <c r="P24" s="12" t="str">
        <f aca="false">IFERROR(INDEX($D$49:$J$513,($O$7-1)*39+1,2)&amp;"","")</f>
        <v>x</v>
      </c>
      <c r="Q24" s="12" t="str">
        <f aca="false">IFERROR(INDEX($D$49:$J$513,($O$7-1)*39+1,3)&amp;"","")</f>
        <v>x</v>
      </c>
      <c r="R24" s="12" t="str">
        <f aca="false">IFERROR(INDEX($D$49:$J$513,($O$7-1)*39+1,4)&amp;"","")</f>
        <v>x</v>
      </c>
      <c r="S24" s="12" t="str">
        <f aca="false">IFERROR(INDEX($D$49:$J$513,($O$7-1)*39+1,5)&amp;"","")</f>
        <v>x</v>
      </c>
      <c r="T24" s="12" t="str">
        <f aca="false">IFERROR(INDEX($D$49:$J$513,($O$7-1)*39+1,6)&amp;"","")</f>
        <v>x</v>
      </c>
      <c r="U24" s="12" t="str">
        <f aca="false">IFERROR(INDEX($D$49:$J$513,($O$7-1)*39+1,7)&amp;"","")</f>
        <v>x</v>
      </c>
    </row>
    <row r="25" customFormat="false" ht="24" hidden="false" customHeight="true" outlineLevel="0" collapsed="false">
      <c r="B25" s="17" t="str">
        <f aca="false">$Z$4</f>
        <v>CDGRUN</v>
      </c>
      <c r="C25" s="32" t="str">
        <f aca="false">IF(E25=0,"-",SUBSTITUTE(TRIM(IF(SUMPRODUCT(--($O$24:$U$24&lt;&gt;""))&gt;0,"77W("&amp;SUMPRODUCT(--($O$24:$U$24&lt;&gt;""))&amp;") ","")&amp;IF(SUMPRODUCT(--($O$25:$U$25&lt;&gt;""))&gt;0,"778("&amp;SUMPRODUCT(--($O$25:$U$25&lt;&gt;""))&amp;") ","")&amp;IF(SUMPRODUCT(--($O$26:$U$26&lt;&gt;""))&gt;0,"A320("&amp;SUMPRODUCT(--($O$26:$U$26&lt;&gt;""))&amp;") ",""))," ",", "))</f>
        <v>77W(7), 778(2), A320(1)</v>
      </c>
      <c r="D25" s="32" t="str">
        <f aca="false">IF(E25=0,"aucune operation",SUBSTITUTE(TRIM(IF(SUMPRODUCT(--($O$24:$O$26&lt;&gt;""))&gt;0,"J1 ","")&amp;IF(SUMPRODUCT(--($P$24:$P$26&lt;&gt;""))&gt;0,"J2 ","")&amp;IF(SUMPRODUCT(--($Q$24:$Q$26&lt;&gt;""))&gt;0,"J3 ","")&amp;IF(SUMPRODUCT(--($R$24:$R$26&lt;&gt;""))&gt;0,"J4 ","")&amp;IF(SUMPRODUCT(--($S$24:$S$26&lt;&gt;""))&gt;0,"J5 ","")&amp;IF(SUMPRODUCT(--($T$24:$T$26&lt;&gt;""))&gt;0,"J6 ","")&amp;IF(SUMPRODUCT(--($U$24:$U$26&lt;&gt;""))&gt;0,"J7 ",""))," ",", "))</f>
        <v>J1, J2, J3, J4, J5, J6, J7</v>
      </c>
      <c r="E25" s="33" t="n">
        <f aca="false">SUMPRODUCT(--($O$24:$U$26&lt;&gt;""))</f>
        <v>10</v>
      </c>
      <c r="F25" s="33" t="n">
        <f aca="false">$C$21</f>
        <v>5</v>
      </c>
      <c r="G25" s="34" t="n">
        <f aca="false">H25+I25</f>
        <v>45</v>
      </c>
      <c r="H25" s="33" t="n">
        <f aca="false">SUMPRODUCT($C$20:$I$20,--($O$24:$U$24&lt;&gt;""))+SUMPRODUCT($C$20:$I$20,--($O$25:$U$25&lt;&gt;""))+SUMPRODUCT($C$20:$I$20,--($O$26:$U$26&lt;&gt;""))</f>
        <v>43</v>
      </c>
      <c r="I25" s="33" t="n">
        <f aca="false">SUMIFS($E$521:$E$560,$C$521:$C$560,$B25,$B$521:$B$560,"&gt;="&amp;$O$4,$B$521:$B$560,"&lt;="&amp;$O$5)</f>
        <v>2</v>
      </c>
      <c r="J25" s="35" t="n">
        <f aca="false">SUMPRODUCT($C$20:$I$20,--($O$24:$U$24&lt;&gt;""))+SUMIFS($E$521:$E$560,$C$521:$C$560,$B25,$D$521:$D$560,"77W",$B$521:$B$560,"&gt;="&amp;$O$4,$B$521:$B$560,"&lt;="&amp;$O$5)</f>
        <v>30</v>
      </c>
      <c r="K25" s="35" t="n">
        <f aca="false">SUMPRODUCT($C$20:$I$20,--($O$25:$U$25&lt;&gt;""))+SUMIFS($E$521:$E$560,$C$521:$C$560,$B25,$D$521:$D$560,"778",$B$521:$B$560,"&gt;="&amp;$O$4,$B$521:$B$560,"&lt;="&amp;$O$5)</f>
        <v>11</v>
      </c>
      <c r="L25" s="35" t="n">
        <f aca="false">SUMPRODUCT($C$20:$I$20,--($O$26:$U$26&lt;&gt;""))+SUMIFS($E$521:$E$560,$C$521:$C$560,$B25,$D$521:$D$560,"A320",$B$521:$B$560,"&gt;="&amp;$O$4,$B$521:$B$560,"&lt;="&amp;$O$5)</f>
        <v>4</v>
      </c>
      <c r="N25" s="10" t="s">
        <v>92</v>
      </c>
      <c r="O25" s="12" t="str">
        <f aca="false">IFERROR(INDEX($D$49:$J$513,($O$7-1)*39+2,1)&amp;"","")</f>
        <v>x</v>
      </c>
      <c r="P25" s="12" t="str">
        <f aca="false">IFERROR(INDEX($D$49:$J$513,($O$7-1)*39+2,2)&amp;"","")</f>
        <v/>
      </c>
      <c r="Q25" s="12" t="str">
        <f aca="false">IFERROR(INDEX($D$49:$J$513,($O$7-1)*39+2,3)&amp;"","")</f>
        <v/>
      </c>
      <c r="R25" s="12" t="str">
        <f aca="false">IFERROR(INDEX($D$49:$J$513,($O$7-1)*39+2,4)&amp;"","")</f>
        <v/>
      </c>
      <c r="S25" s="12" t="str">
        <f aca="false">IFERROR(INDEX($D$49:$J$513,($O$7-1)*39+2,5)&amp;"","")</f>
        <v>x</v>
      </c>
      <c r="T25" s="12" t="str">
        <f aca="false">IFERROR(INDEX($D$49:$J$513,($O$7-1)*39+2,6)&amp;"","")</f>
        <v/>
      </c>
      <c r="U25" s="12" t="str">
        <f aca="false">IFERROR(INDEX($D$49:$J$513,($O$7-1)*39+2,7)&amp;"","")</f>
        <v/>
      </c>
    </row>
    <row r="26" customFormat="false" ht="24" hidden="false" customHeight="true" outlineLevel="0" collapsed="false">
      <c r="B26" s="17" t="str">
        <f aca="false">$Z$5</f>
        <v>CDGDZA</v>
      </c>
      <c r="C26" s="32" t="str">
        <f aca="false">IF(E26=0,"-",SUBSTITUTE(TRIM(IF(SUMPRODUCT(--($O$27:$U$27&lt;&gt;""))&gt;0,"77W("&amp;SUMPRODUCT(--($O$27:$U$27&lt;&gt;""))&amp;") ","")&amp;IF(SUMPRODUCT(--($O$28:$U$28&lt;&gt;""))&gt;0,"778("&amp;SUMPRODUCT(--($O$28:$U$28&lt;&gt;""))&amp;") ","")&amp;IF(SUMPRODUCT(--($O$29:$U$29&lt;&gt;""))&gt;0,"A320("&amp;SUMPRODUCT(--($O$29:$U$29&lt;&gt;""))&amp;") ",""))," ",", "))</f>
        <v>77W(1), 778(2)</v>
      </c>
      <c r="D26" s="32" t="str">
        <f aca="false">IF(E26=0,"aucune operation",SUBSTITUTE(TRIM(IF(SUMPRODUCT(--($O$27:$O$29&lt;&gt;""))&gt;0,"J1 ","")&amp;IF(SUMPRODUCT(--($P$27:$P$29&lt;&gt;""))&gt;0,"J2 ","")&amp;IF(SUMPRODUCT(--($Q$27:$Q$29&lt;&gt;""))&gt;0,"J3 ","")&amp;IF(SUMPRODUCT(--($R$27:$R$29&lt;&gt;""))&gt;0,"J4 ","")&amp;IF(SUMPRODUCT(--($S$27:$S$29&lt;&gt;""))&gt;0,"J5 ","")&amp;IF(SUMPRODUCT(--($T$27:$T$29&lt;&gt;""))&gt;0,"J6 ","")&amp;IF(SUMPRODUCT(--($U$27:$U$29&lt;&gt;""))&gt;0,"J7 ",""))," ",", "))</f>
        <v>J2, J5, J7</v>
      </c>
      <c r="E26" s="33" t="n">
        <f aca="false">SUMPRODUCT(--($O$27:$U$29&lt;&gt;""))</f>
        <v>3</v>
      </c>
      <c r="F26" s="33" t="n">
        <f aca="false">$C$21</f>
        <v>5</v>
      </c>
      <c r="G26" s="34" t="n">
        <f aca="false">H26+I26</f>
        <v>13</v>
      </c>
      <c r="H26" s="33" t="n">
        <f aca="false">SUMPRODUCT($C$20:$I$20,--($O$27:$U$27&lt;&gt;""))+SUMPRODUCT($C$20:$I$20,--($O$28:$U$28&lt;&gt;""))+SUMPRODUCT($C$20:$I$20,--($O$29:$U$29&lt;&gt;""))</f>
        <v>13</v>
      </c>
      <c r="I26" s="33" t="n">
        <f aca="false">SUMIFS($E$521:$E$560,$C$521:$C$560,$B26,$B$521:$B$560,"&gt;="&amp;$O$4,$B$521:$B$560,"&lt;="&amp;$O$5)</f>
        <v>0</v>
      </c>
      <c r="J26" s="35" t="n">
        <f aca="false">SUMPRODUCT($C$20:$I$20,--($O$27:$U$27&lt;&gt;""))+SUMIFS($E$521:$E$560,$C$521:$C$560,$B26,$D$521:$D$560,"77W",$B$521:$B$560,"&gt;="&amp;$O$4,$B$521:$B$560,"&lt;="&amp;$O$5)</f>
        <v>4</v>
      </c>
      <c r="K26" s="35" t="n">
        <f aca="false">SUMPRODUCT($C$20:$I$20,--($O$28:$U$28&lt;&gt;""))+SUMIFS($E$521:$E$560,$C$521:$C$560,$B26,$D$521:$D$560,"778",$B$521:$B$560,"&gt;="&amp;$O$4,$B$521:$B$560,"&lt;="&amp;$O$5)</f>
        <v>9</v>
      </c>
      <c r="L26" s="35" t="n">
        <f aca="false">SUMPRODUCT($C$20:$I$20,--($O$29:$U$29&lt;&gt;""))+SUMIFS($E$521:$E$560,$C$521:$C$560,$B26,$D$521:$D$560,"A320",$B$521:$B$560,"&gt;="&amp;$O$4,$B$521:$B$560,"&lt;="&amp;$O$5)</f>
        <v>0</v>
      </c>
      <c r="N26" s="10" t="s">
        <v>93</v>
      </c>
      <c r="O26" s="12" t="str">
        <f aca="false">IFERROR(INDEX($D$49:$J$513,($O$7-1)*39+3,1)&amp;"","")</f>
        <v>x</v>
      </c>
      <c r="P26" s="12" t="str">
        <f aca="false">IFERROR(INDEX($D$49:$J$513,($O$7-1)*39+3,2)&amp;"","")</f>
        <v/>
      </c>
      <c r="Q26" s="12" t="str">
        <f aca="false">IFERROR(INDEX($D$49:$J$513,($O$7-1)*39+3,3)&amp;"","")</f>
        <v/>
      </c>
      <c r="R26" s="12" t="str">
        <f aca="false">IFERROR(INDEX($D$49:$J$513,($O$7-1)*39+3,4)&amp;"","")</f>
        <v/>
      </c>
      <c r="S26" s="12" t="str">
        <f aca="false">IFERROR(INDEX($D$49:$J$513,($O$7-1)*39+3,5)&amp;"","")</f>
        <v/>
      </c>
      <c r="T26" s="12" t="str">
        <f aca="false">IFERROR(INDEX($D$49:$J$513,($O$7-1)*39+3,6)&amp;"","")</f>
        <v/>
      </c>
      <c r="U26" s="12" t="str">
        <f aca="false">IFERROR(INDEX($D$49:$J$513,($O$7-1)*39+3,7)&amp;"","")</f>
        <v/>
      </c>
    </row>
    <row r="27" customFormat="false" ht="24" hidden="false" customHeight="true" outlineLevel="0" collapsed="false">
      <c r="B27" s="17" t="str">
        <f aca="false">$Z$6</f>
        <v>BKKRUN</v>
      </c>
      <c r="C27" s="32" t="str">
        <f aca="false">IF(E27=0,"-",SUBSTITUTE(TRIM(IF(SUMPRODUCT(--($O$30:$U$30&lt;&gt;""))&gt;0,"77W("&amp;SUMPRODUCT(--($O$30:$U$30&lt;&gt;""))&amp;") ","")&amp;IF(SUMPRODUCT(--($O$31:$U$31&lt;&gt;""))&gt;0,"778("&amp;SUMPRODUCT(--($O$31:$U$31&lt;&gt;""))&amp;") ","")&amp;IF(SUMPRODUCT(--($O$32:$U$32&lt;&gt;""))&gt;0,"A320("&amp;SUMPRODUCT(--($O$32:$U$32&lt;&gt;""))&amp;") ",""))," ",", "))</f>
        <v>778(2)</v>
      </c>
      <c r="D27" s="32" t="str">
        <f aca="false">IF(E27=0,"aucune operation",SUBSTITUTE(TRIM(IF(SUMPRODUCT(--($O$30:$O$32&lt;&gt;""))&gt;0,"J1 ","")&amp;IF(SUMPRODUCT(--($P$30:$P$32&lt;&gt;""))&gt;0,"J2 ","")&amp;IF(SUMPRODUCT(--($Q$30:$Q$32&lt;&gt;""))&gt;0,"J3 ","")&amp;IF(SUMPRODUCT(--($R$30:$R$32&lt;&gt;""))&gt;0,"J4 ","")&amp;IF(SUMPRODUCT(--($S$30:$S$32&lt;&gt;""))&gt;0,"J5 ","")&amp;IF(SUMPRODUCT(--($T$30:$T$32&lt;&gt;""))&gt;0,"J6 ","")&amp;IF(SUMPRODUCT(--($U$30:$U$32&lt;&gt;""))&gt;0,"J7 ",""))," ",", "))</f>
        <v>J3, J6</v>
      </c>
      <c r="E27" s="33" t="n">
        <f aca="false">SUMPRODUCT(--($O$30:$U$32&lt;&gt;""))</f>
        <v>2</v>
      </c>
      <c r="F27" s="33" t="n">
        <f aca="false">$C$21</f>
        <v>5</v>
      </c>
      <c r="G27" s="34" t="n">
        <f aca="false">H27+I27</f>
        <v>8</v>
      </c>
      <c r="H27" s="33" t="n">
        <f aca="false">SUMPRODUCT($C$20:$I$20,--($O$30:$U$30&lt;&gt;""))+SUMPRODUCT($C$20:$I$20,--($O$31:$U$31&lt;&gt;""))+SUMPRODUCT($C$20:$I$20,--($O$32:$U$32&lt;&gt;""))</f>
        <v>8</v>
      </c>
      <c r="I27" s="33" t="n">
        <f aca="false">SUMIFS($E$521:$E$560,$C$521:$C$560,$B27,$B$521:$B$560,"&gt;="&amp;$O$4,$B$521:$B$560,"&lt;="&amp;$O$5)</f>
        <v>0</v>
      </c>
      <c r="J27" s="35" t="n">
        <f aca="false">SUMPRODUCT($C$20:$I$20,--($O$30:$U$30&lt;&gt;""))+SUMIFS($E$521:$E$560,$C$521:$C$560,$B27,$D$521:$D$560,"77W",$B$521:$B$560,"&gt;="&amp;$O$4,$B$521:$B$560,"&lt;="&amp;$O$5)</f>
        <v>0</v>
      </c>
      <c r="K27" s="35" t="n">
        <f aca="false">SUMPRODUCT($C$20:$I$20,--($O$31:$U$31&lt;&gt;""))+SUMIFS($E$521:$E$560,$C$521:$C$560,$B27,$D$521:$D$560,"778",$B$521:$B$560,"&gt;="&amp;$O$4,$B$521:$B$560,"&lt;="&amp;$O$5)</f>
        <v>8</v>
      </c>
      <c r="L27" s="35" t="n">
        <f aca="false">SUMPRODUCT($C$20:$I$20,--($O$32:$U$32&lt;&gt;""))+SUMIFS($E$521:$E$560,$C$521:$C$560,$B27,$D$521:$D$560,"A320",$B$521:$B$560,"&gt;="&amp;$O$4,$B$521:$B$560,"&lt;="&amp;$O$5)</f>
        <v>0</v>
      </c>
      <c r="N27" s="10" t="s">
        <v>94</v>
      </c>
      <c r="O27" s="12" t="str">
        <f aca="false">IFERROR(INDEX($D$49:$J$513,($O$7-1)*39+4,1)&amp;"","")</f>
        <v/>
      </c>
      <c r="P27" s="12" t="str">
        <f aca="false">IFERROR(INDEX($D$49:$J$513,($O$7-1)*39+4,2)&amp;"","")</f>
        <v/>
      </c>
      <c r="Q27" s="12" t="str">
        <f aca="false">IFERROR(INDEX($D$49:$J$513,($O$7-1)*39+4,3)&amp;"","")</f>
        <v/>
      </c>
      <c r="R27" s="12" t="str">
        <f aca="false">IFERROR(INDEX($D$49:$J$513,($O$7-1)*39+4,4)&amp;"","")</f>
        <v/>
      </c>
      <c r="S27" s="12" t="str">
        <f aca="false">IFERROR(INDEX($D$49:$J$513,($O$7-1)*39+4,5)&amp;"","")</f>
        <v/>
      </c>
      <c r="T27" s="12" t="str">
        <f aca="false">IFERROR(INDEX($D$49:$J$513,($O$7-1)*39+4,6)&amp;"","")</f>
        <v/>
      </c>
      <c r="U27" s="12" t="str">
        <f aca="false">IFERROR(INDEX($D$49:$J$513,($O$7-1)*39+4,7)&amp;"","")</f>
        <v>x</v>
      </c>
    </row>
    <row r="28" customFormat="false" ht="24" hidden="false" customHeight="true" outlineLevel="0" collapsed="false">
      <c r="B28" s="17" t="str">
        <f aca="false">$Z$7</f>
        <v>DZARUN</v>
      </c>
      <c r="C28" s="32" t="str">
        <f aca="false">IF(E28=0,"-",SUBSTITUTE(TRIM(IF(SUMPRODUCT(--($O$33:$U$33&lt;&gt;""))&gt;0,"77W("&amp;SUMPRODUCT(--($O$33:$U$33&lt;&gt;""))&amp;") ","")&amp;IF(SUMPRODUCT(--($O$34:$U$34&lt;&gt;""))&gt;0,"778("&amp;SUMPRODUCT(--($O$34:$U$34&lt;&gt;""))&amp;") ","")&amp;IF(SUMPRODUCT(--($O$35:$U$35&lt;&gt;""))&gt;0,"A320("&amp;SUMPRODUCT(--($O$35:$U$35&lt;&gt;""))&amp;") ",""))," ",", "))</f>
        <v>778(1), A320(5)</v>
      </c>
      <c r="D28" s="32" t="str">
        <f aca="false">IF(E28=0,"aucune operation",SUBSTITUTE(TRIM(IF(SUMPRODUCT(--($O$33:$O$35&lt;&gt;""))&gt;0,"J1 ","")&amp;IF(SUMPRODUCT(--($P$33:$P$35&lt;&gt;""))&gt;0,"J2 ","")&amp;IF(SUMPRODUCT(--($Q$33:$Q$35&lt;&gt;""))&gt;0,"J3 ","")&amp;IF(SUMPRODUCT(--($R$33:$R$35&lt;&gt;""))&gt;0,"J4 ","")&amp;IF(SUMPRODUCT(--($S$33:$S$35&lt;&gt;""))&gt;0,"J5 ","")&amp;IF(SUMPRODUCT(--($T$33:$T$35&lt;&gt;""))&gt;0,"J6 ","")&amp;IF(SUMPRODUCT(--($U$33:$U$35&lt;&gt;""))&gt;0,"J7 ",""))," ",", "))</f>
        <v>J1, J2, J3, J4, J5</v>
      </c>
      <c r="E28" s="33" t="n">
        <f aca="false">SUMPRODUCT(--($O$33:$U$35&lt;&gt;""))</f>
        <v>6</v>
      </c>
      <c r="F28" s="33" t="n">
        <f aca="false">$C$21</f>
        <v>5</v>
      </c>
      <c r="G28" s="34" t="n">
        <f aca="false">H28+I28</f>
        <v>26</v>
      </c>
      <c r="H28" s="33" t="n">
        <f aca="false">SUMPRODUCT($C$20:$I$20,--($O$33:$U$33&lt;&gt;""))+SUMPRODUCT($C$20:$I$20,--($O$34:$U$34&lt;&gt;""))+SUMPRODUCT($C$20:$I$20,--($O$35:$U$35&lt;&gt;""))</f>
        <v>26</v>
      </c>
      <c r="I28" s="33" t="n">
        <f aca="false">SUMIFS($E$521:$E$560,$C$521:$C$560,$B28,$B$521:$B$560,"&gt;="&amp;$O$4,$B$521:$B$560,"&lt;="&amp;$O$5)</f>
        <v>0</v>
      </c>
      <c r="J28" s="35" t="n">
        <f aca="false">SUMPRODUCT($C$20:$I$20,--($O$33:$U$33&lt;&gt;""))+SUMIFS($E$521:$E$560,$C$521:$C$560,$B28,$D$521:$D$560,"77W",$B$521:$B$560,"&gt;="&amp;$O$4,$B$521:$B$560,"&lt;="&amp;$O$5)</f>
        <v>0</v>
      </c>
      <c r="K28" s="35" t="n">
        <f aca="false">SUMPRODUCT($C$20:$I$20,--($O$34:$U$34&lt;&gt;""))+SUMIFS($E$521:$E$560,$C$521:$C$560,$B28,$D$521:$D$560,"778",$B$521:$B$560,"&gt;="&amp;$O$4,$B$521:$B$560,"&lt;="&amp;$O$5)</f>
        <v>4</v>
      </c>
      <c r="L28" s="35" t="n">
        <f aca="false">SUMPRODUCT($C$20:$I$20,--($O$35:$U$35&lt;&gt;""))+SUMIFS($E$521:$E$560,$C$521:$C$560,$B28,$D$521:$D$560,"A320",$B$521:$B$560,"&gt;="&amp;$O$4,$B$521:$B$560,"&lt;="&amp;$O$5)</f>
        <v>22</v>
      </c>
      <c r="N28" s="10" t="s">
        <v>95</v>
      </c>
      <c r="O28" s="12" t="str">
        <f aca="false">IFERROR(INDEX($D$49:$J$513,($O$7-1)*39+5,1)&amp;"","")</f>
        <v/>
      </c>
      <c r="P28" s="12" t="str">
        <f aca="false">IFERROR(INDEX($D$49:$J$513,($O$7-1)*39+5,2)&amp;"","")</f>
        <v>x</v>
      </c>
      <c r="Q28" s="12" t="str">
        <f aca="false">IFERROR(INDEX($D$49:$J$513,($O$7-1)*39+5,3)&amp;"","")</f>
        <v/>
      </c>
      <c r="R28" s="12" t="str">
        <f aca="false">IFERROR(INDEX($D$49:$J$513,($O$7-1)*39+5,4)&amp;"","")</f>
        <v/>
      </c>
      <c r="S28" s="12" t="str">
        <f aca="false">IFERROR(INDEX($D$49:$J$513,($O$7-1)*39+5,5)&amp;"","")</f>
        <v>x</v>
      </c>
      <c r="T28" s="12" t="str">
        <f aca="false">IFERROR(INDEX($D$49:$J$513,($O$7-1)*39+5,6)&amp;"","")</f>
        <v/>
      </c>
      <c r="U28" s="12" t="str">
        <f aca="false">IFERROR(INDEX($D$49:$J$513,($O$7-1)*39+5,7)&amp;"","")</f>
        <v/>
      </c>
    </row>
    <row r="29" customFormat="false" ht="24" hidden="false" customHeight="true" outlineLevel="0" collapsed="false">
      <c r="B29" s="17" t="str">
        <f aca="false">$Z$8</f>
        <v>MRURUN</v>
      </c>
      <c r="C29" s="32" t="str">
        <f aca="false">IF(E29=0,"-",SUBSTITUTE(TRIM(IF(SUMPRODUCT(--($O$36:$U$36&lt;&gt;""))&gt;0,"77W("&amp;SUMPRODUCT(--($O$36:$U$36&lt;&gt;""))&amp;") ","")&amp;IF(SUMPRODUCT(--($O$37:$U$37&lt;&gt;""))&gt;0,"778("&amp;SUMPRODUCT(--($O$37:$U$37&lt;&gt;""))&amp;") ","")&amp;IF(SUMPRODUCT(--($O$38:$U$38&lt;&gt;""))&gt;0,"A320("&amp;SUMPRODUCT(--($O$38:$U$38&lt;&gt;""))&amp;") ",""))," ",", "))</f>
        <v>A320(4)</v>
      </c>
      <c r="D29" s="32" t="str">
        <f aca="false">IF(E29=0,"aucune operation",SUBSTITUTE(TRIM(IF(SUMPRODUCT(--($O$36:$O$38&lt;&gt;""))&gt;0,"J1 ","")&amp;IF(SUMPRODUCT(--($P$36:$P$38&lt;&gt;""))&gt;0,"J2 ","")&amp;IF(SUMPRODUCT(--($Q$36:$Q$38&lt;&gt;""))&gt;0,"J3 ","")&amp;IF(SUMPRODUCT(--($R$36:$R$38&lt;&gt;""))&gt;0,"J4 ","")&amp;IF(SUMPRODUCT(--($S$36:$S$38&lt;&gt;""))&gt;0,"J5 ","")&amp;IF(SUMPRODUCT(--($T$36:$T$38&lt;&gt;""))&gt;0,"J6 ","")&amp;IF(SUMPRODUCT(--($U$36:$U$38&lt;&gt;""))&gt;0,"J7 ",""))," ",", "))</f>
        <v>J1, J3, J5, J7</v>
      </c>
      <c r="E29" s="33" t="n">
        <f aca="false">SUMPRODUCT(--($O$36:$U$38&lt;&gt;""))</f>
        <v>4</v>
      </c>
      <c r="F29" s="33" t="n">
        <f aca="false">$C$21</f>
        <v>5</v>
      </c>
      <c r="G29" s="34" t="n">
        <f aca="false">H29+I29</f>
        <v>17</v>
      </c>
      <c r="H29" s="33" t="n">
        <f aca="false">SUMPRODUCT($C$20:$I$20,--($O$36:$U$36&lt;&gt;""))+SUMPRODUCT($C$20:$I$20,--($O$37:$U$37&lt;&gt;""))+SUMPRODUCT($C$20:$I$20,--($O$38:$U$38&lt;&gt;""))</f>
        <v>17</v>
      </c>
      <c r="I29" s="33" t="n">
        <f aca="false">SUMIFS($E$521:$E$560,$C$521:$C$560,$B29,$B$521:$B$560,"&gt;="&amp;$O$4,$B$521:$B$560,"&lt;="&amp;$O$5)</f>
        <v>0</v>
      </c>
      <c r="J29" s="35" t="n">
        <f aca="false">SUMPRODUCT($C$20:$I$20,--($O$36:$U$36&lt;&gt;""))+SUMIFS($E$521:$E$560,$C$521:$C$560,$B29,$D$521:$D$560,"77W",$B$521:$B$560,"&gt;="&amp;$O$4,$B$521:$B$560,"&lt;="&amp;$O$5)</f>
        <v>0</v>
      </c>
      <c r="K29" s="35" t="n">
        <f aca="false">SUMPRODUCT($C$20:$I$20,--($O$37:$U$37&lt;&gt;""))+SUMIFS($E$521:$E$560,$C$521:$C$560,$B29,$D$521:$D$560,"778",$B$521:$B$560,"&gt;="&amp;$O$4,$B$521:$B$560,"&lt;="&amp;$O$5)</f>
        <v>0</v>
      </c>
      <c r="L29" s="35" t="n">
        <f aca="false">SUMPRODUCT($C$20:$I$20,--($O$38:$U$38&lt;&gt;""))+SUMIFS($E$521:$E$560,$C$521:$C$560,$B29,$D$521:$D$560,"A320",$B$521:$B$560,"&gt;="&amp;$O$4,$B$521:$B$560,"&lt;="&amp;$O$5)</f>
        <v>17</v>
      </c>
      <c r="N29" s="10" t="s">
        <v>96</v>
      </c>
      <c r="O29" s="12" t="str">
        <f aca="false">IFERROR(INDEX($D$49:$J$513,($O$7-1)*39+6,1)&amp;"","")</f>
        <v/>
      </c>
      <c r="P29" s="12" t="str">
        <f aca="false">IFERROR(INDEX($D$49:$J$513,($O$7-1)*39+6,2)&amp;"","")</f>
        <v/>
      </c>
      <c r="Q29" s="12" t="str">
        <f aca="false">IFERROR(INDEX($D$49:$J$513,($O$7-1)*39+6,3)&amp;"","")</f>
        <v/>
      </c>
      <c r="R29" s="12" t="str">
        <f aca="false">IFERROR(INDEX($D$49:$J$513,($O$7-1)*39+6,4)&amp;"","")</f>
        <v/>
      </c>
      <c r="S29" s="12" t="str">
        <f aca="false">IFERROR(INDEX($D$49:$J$513,($O$7-1)*39+6,5)&amp;"","")</f>
        <v/>
      </c>
      <c r="T29" s="12" t="str">
        <f aca="false">IFERROR(INDEX($D$49:$J$513,($O$7-1)*39+6,6)&amp;"","")</f>
        <v/>
      </c>
      <c r="U29" s="12" t="str">
        <f aca="false">IFERROR(INDEX($D$49:$J$513,($O$7-1)*39+6,7)&amp;"","")</f>
        <v/>
      </c>
    </row>
    <row r="30" customFormat="false" ht="24" hidden="false" customHeight="true" outlineLevel="0" collapsed="false">
      <c r="B30" s="17" t="str">
        <f aca="false">$Z$9</f>
        <v>NOSRUN</v>
      </c>
      <c r="C30" s="32" t="str">
        <f aca="false">IF(E30=0,"-",SUBSTITUTE(TRIM(IF(SUMPRODUCT(--($O$39:$U$39&lt;&gt;""))&gt;0,"77W("&amp;SUMPRODUCT(--($O$39:$U$39&lt;&gt;""))&amp;") ","")&amp;IF(SUMPRODUCT(--($O$40:$U$40&lt;&gt;""))&gt;0,"778("&amp;SUMPRODUCT(--($O$40:$U$40&lt;&gt;""))&amp;") ","")&amp;IF(SUMPRODUCT(--($O$41:$U$41&lt;&gt;""))&gt;0,"A320("&amp;SUMPRODUCT(--($O$41:$U$41&lt;&gt;""))&amp;") ",""))," ",", "))</f>
        <v>A320(3)</v>
      </c>
      <c r="D30" s="32" t="str">
        <f aca="false">IF(E30=0,"aucune operation",SUBSTITUTE(TRIM(IF(SUMPRODUCT(--($O$39:$O$41&lt;&gt;""))&gt;0,"J1 ","")&amp;IF(SUMPRODUCT(--($P$39:$P$41&lt;&gt;""))&gt;0,"J2 ","")&amp;IF(SUMPRODUCT(--($Q$39:$Q$41&lt;&gt;""))&gt;0,"J3 ","")&amp;IF(SUMPRODUCT(--($R$39:$R$41&lt;&gt;""))&gt;0,"J4 ","")&amp;IF(SUMPRODUCT(--($S$39:$S$41&lt;&gt;""))&gt;0,"J5 ","")&amp;IF(SUMPRODUCT(--($T$39:$T$41&lt;&gt;""))&gt;0,"J6 ","")&amp;IF(SUMPRODUCT(--($U$39:$U$41&lt;&gt;""))&gt;0,"J7 ",""))," ",", "))</f>
        <v>J1, J4, J6</v>
      </c>
      <c r="E30" s="33" t="n">
        <f aca="false">SUMPRODUCT(--($O$39:$U$41&lt;&gt;""))</f>
        <v>3</v>
      </c>
      <c r="F30" s="33" t="n">
        <f aca="false">$C$21</f>
        <v>5</v>
      </c>
      <c r="G30" s="34" t="n">
        <f aca="false">H30+I30</f>
        <v>15</v>
      </c>
      <c r="H30" s="33" t="n">
        <f aca="false">SUMPRODUCT($C$20:$I$20,--($O$39:$U$39&lt;&gt;""))+SUMPRODUCT($C$20:$I$20,--($O$40:$U$40&lt;&gt;""))+SUMPRODUCT($C$20:$I$20,--($O$41:$U$41&lt;&gt;""))</f>
        <v>13</v>
      </c>
      <c r="I30" s="33" t="n">
        <f aca="false">SUMIFS($E$521:$E$560,$C$521:$C$560,$B30,$B$521:$B$560,"&gt;="&amp;$O$4,$B$521:$B$560,"&lt;="&amp;$O$5)</f>
        <v>2</v>
      </c>
      <c r="J30" s="35" t="n">
        <f aca="false">SUMPRODUCT($C$20:$I$20,--($O$39:$U$39&lt;&gt;""))+SUMIFS($E$521:$E$560,$C$521:$C$560,$B30,$D$521:$D$560,"77W",$B$521:$B$560,"&gt;="&amp;$O$4,$B$521:$B$560,"&lt;="&amp;$O$5)</f>
        <v>0</v>
      </c>
      <c r="K30" s="35" t="n">
        <f aca="false">SUMPRODUCT($C$20:$I$20,--($O$40:$U$40&lt;&gt;""))+SUMIFS($E$521:$E$560,$C$521:$C$560,$B30,$D$521:$D$560,"778",$B$521:$B$560,"&gt;="&amp;$O$4,$B$521:$B$560,"&lt;="&amp;$O$5)</f>
        <v>0</v>
      </c>
      <c r="L30" s="35" t="n">
        <f aca="false">SUMPRODUCT($C$20:$I$20,--($O$41:$U$41&lt;&gt;""))+SUMIFS($E$521:$E$560,$C$521:$C$560,$B30,$D$521:$D$560,"A320",$B$521:$B$560,"&gt;="&amp;$O$4,$B$521:$B$560,"&lt;="&amp;$O$5)</f>
        <v>15</v>
      </c>
      <c r="N30" s="10" t="s">
        <v>97</v>
      </c>
      <c r="O30" s="12" t="str">
        <f aca="false">IFERROR(INDEX($D$49:$J$513,($O$7-1)*39+7,1)&amp;"","")</f>
        <v/>
      </c>
      <c r="P30" s="12" t="str">
        <f aca="false">IFERROR(INDEX($D$49:$J$513,($O$7-1)*39+7,2)&amp;"","")</f>
        <v/>
      </c>
      <c r="Q30" s="12" t="str">
        <f aca="false">IFERROR(INDEX($D$49:$J$513,($O$7-1)*39+7,3)&amp;"","")</f>
        <v/>
      </c>
      <c r="R30" s="12" t="str">
        <f aca="false">IFERROR(INDEX($D$49:$J$513,($O$7-1)*39+7,4)&amp;"","")</f>
        <v/>
      </c>
      <c r="S30" s="12" t="str">
        <f aca="false">IFERROR(INDEX($D$49:$J$513,($O$7-1)*39+7,5)&amp;"","")</f>
        <v/>
      </c>
      <c r="T30" s="12" t="str">
        <f aca="false">IFERROR(INDEX($D$49:$J$513,($O$7-1)*39+7,6)&amp;"","")</f>
        <v/>
      </c>
      <c r="U30" s="12" t="str">
        <f aca="false">IFERROR(INDEX($D$49:$J$513,($O$7-1)*39+7,7)&amp;"","")</f>
        <v/>
      </c>
    </row>
    <row r="31" customFormat="false" ht="24" hidden="false" customHeight="true" outlineLevel="0" collapsed="false">
      <c r="B31" s="17" t="str">
        <f aca="false">$Z$10</f>
        <v>RUNTNR</v>
      </c>
      <c r="C31" s="32" t="str">
        <f aca="false">IF(E31=0,"-",SUBSTITUTE(TRIM(IF(SUMPRODUCT(--($O$42:$U$42&lt;&gt;""))&gt;0,"77W("&amp;SUMPRODUCT(--($O$42:$U$42&lt;&gt;""))&amp;") ","")&amp;IF(SUMPRODUCT(--($O$43:$U$43&lt;&gt;""))&gt;0,"778("&amp;SUMPRODUCT(--($O$43:$U$43&lt;&gt;""))&amp;") ","")&amp;IF(SUMPRODUCT(--($O$44:$U$44&lt;&gt;""))&gt;0,"A320("&amp;SUMPRODUCT(--($O$44:$U$44&lt;&gt;""))&amp;") ",""))," ",", "))</f>
        <v>A320(3)</v>
      </c>
      <c r="D31" s="32" t="str">
        <f aca="false">IF(E31=0,"aucune operation",SUBSTITUTE(TRIM(IF(SUMPRODUCT(--($O$42:$O$44&lt;&gt;""))&gt;0,"J1 ","")&amp;IF(SUMPRODUCT(--($P$42:$P$44&lt;&gt;""))&gt;0,"J2 ","")&amp;IF(SUMPRODUCT(--($Q$42:$Q$44&lt;&gt;""))&gt;0,"J3 ","")&amp;IF(SUMPRODUCT(--($R$42:$R$44&lt;&gt;""))&gt;0,"J4 ","")&amp;IF(SUMPRODUCT(--($S$42:$S$44&lt;&gt;""))&gt;0,"J5 ","")&amp;IF(SUMPRODUCT(--($T$42:$T$44&lt;&gt;""))&gt;0,"J6 ","")&amp;IF(SUMPRODUCT(--($U$42:$U$44&lt;&gt;""))&gt;0,"J7 ",""))," ",", "))</f>
        <v>J2, J4, J6</v>
      </c>
      <c r="E31" s="33" t="n">
        <f aca="false">SUMPRODUCT(--($O$42:$U$44&lt;&gt;""))</f>
        <v>3</v>
      </c>
      <c r="F31" s="33" t="n">
        <f aca="false">$C$21</f>
        <v>5</v>
      </c>
      <c r="G31" s="34" t="n">
        <f aca="false">H31+I31</f>
        <v>13</v>
      </c>
      <c r="H31" s="33" t="n">
        <f aca="false">SUMPRODUCT($C$20:$I$20,--($O$42:$U$42&lt;&gt;""))+SUMPRODUCT($C$20:$I$20,--($O$43:$U$43&lt;&gt;""))+SUMPRODUCT($C$20:$I$20,--($O$44:$U$44&lt;&gt;""))</f>
        <v>13</v>
      </c>
      <c r="I31" s="33" t="n">
        <f aca="false">SUMIFS($E$521:$E$560,$C$521:$C$560,$B31,$B$521:$B$560,"&gt;="&amp;$O$4,$B$521:$B$560,"&lt;="&amp;$O$5)</f>
        <v>0</v>
      </c>
      <c r="J31" s="35" t="n">
        <f aca="false">SUMPRODUCT($C$20:$I$20,--($O$42:$U$42&lt;&gt;""))+SUMIFS($E$521:$E$560,$C$521:$C$560,$B31,$D$521:$D$560,"77W",$B$521:$B$560,"&gt;="&amp;$O$4,$B$521:$B$560,"&lt;="&amp;$O$5)</f>
        <v>0</v>
      </c>
      <c r="K31" s="35" t="n">
        <f aca="false">SUMPRODUCT($C$20:$I$20,--($O$43:$U$43&lt;&gt;""))+SUMIFS($E$521:$E$560,$C$521:$C$560,$B31,$D$521:$D$560,"778",$B$521:$B$560,"&gt;="&amp;$O$4,$B$521:$B$560,"&lt;="&amp;$O$5)</f>
        <v>0</v>
      </c>
      <c r="L31" s="35" t="n">
        <f aca="false">SUMPRODUCT($C$20:$I$20,--($O$44:$U$44&lt;&gt;""))+SUMIFS($E$521:$E$560,$C$521:$C$560,$B31,$D$521:$D$560,"A320",$B$521:$B$560,"&gt;="&amp;$O$4,$B$521:$B$560,"&lt;="&amp;$O$5)</f>
        <v>13</v>
      </c>
      <c r="N31" s="10" t="s">
        <v>98</v>
      </c>
      <c r="O31" s="12" t="str">
        <f aca="false">IFERROR(INDEX($D$49:$J$513,($O$7-1)*39+8,1)&amp;"","")</f>
        <v/>
      </c>
      <c r="P31" s="12" t="str">
        <f aca="false">IFERROR(INDEX($D$49:$J$513,($O$7-1)*39+8,2)&amp;"","")</f>
        <v/>
      </c>
      <c r="Q31" s="12" t="str">
        <f aca="false">IFERROR(INDEX($D$49:$J$513,($O$7-1)*39+8,3)&amp;"","")</f>
        <v>x</v>
      </c>
      <c r="R31" s="12" t="str">
        <f aca="false">IFERROR(INDEX($D$49:$J$513,($O$7-1)*39+8,4)&amp;"","")</f>
        <v/>
      </c>
      <c r="S31" s="12" t="str">
        <f aca="false">IFERROR(INDEX($D$49:$J$513,($O$7-1)*39+8,5)&amp;"","")</f>
        <v/>
      </c>
      <c r="T31" s="12" t="str">
        <f aca="false">IFERROR(INDEX($D$49:$J$513,($O$7-1)*39+8,6)&amp;"","")</f>
        <v>x</v>
      </c>
      <c r="U31" s="12" t="str">
        <f aca="false">IFERROR(INDEX($D$49:$J$513,($O$7-1)*39+8,7)&amp;"","")</f>
        <v/>
      </c>
    </row>
    <row r="32" customFormat="false" ht="24" hidden="false" customHeight="true" outlineLevel="0" collapsed="false">
      <c r="B32" s="17" t="str">
        <f aca="false">$Z$11</f>
        <v>JNBRUN</v>
      </c>
      <c r="C32" s="32" t="str">
        <f aca="false">IF(E32=0,"-",SUBSTITUTE(TRIM(IF(SUMPRODUCT(--($O$45:$U$45&lt;&gt;""))&gt;0,"77W("&amp;SUMPRODUCT(--($O$45:$U$45&lt;&gt;""))&amp;") ","")&amp;IF(SUMPRODUCT(--($O$46:$U$46&lt;&gt;""))&gt;0,"778("&amp;SUMPRODUCT(--($O$46:$U$46&lt;&gt;""))&amp;") ","")&amp;IF(SUMPRODUCT(--($O$47:$U$47&lt;&gt;""))&gt;0,"A320("&amp;SUMPRODUCT(--($O$47:$U$47&lt;&gt;""))&amp;") ",""))," ",", "))</f>
        <v>778(2)</v>
      </c>
      <c r="D32" s="32" t="str">
        <f aca="false">IF(E32=0,"aucune operation",SUBSTITUTE(TRIM(IF(SUMPRODUCT(--($O$45:$O$47&lt;&gt;""))&gt;0,"J1 ","")&amp;IF(SUMPRODUCT(--($P$45:$P$47&lt;&gt;""))&gt;0,"J2 ","")&amp;IF(SUMPRODUCT(--($Q$45:$Q$47&lt;&gt;""))&gt;0,"J3 ","")&amp;IF(SUMPRODUCT(--($R$45:$R$47&lt;&gt;""))&gt;0,"J4 ","")&amp;IF(SUMPRODUCT(--($S$45:$S$47&lt;&gt;""))&gt;0,"J5 ","")&amp;IF(SUMPRODUCT(--($T$45:$T$47&lt;&gt;""))&gt;0,"J6 ","")&amp;IF(SUMPRODUCT(--($U$45:$U$47&lt;&gt;""))&gt;0,"J7 ",""))," ",", "))</f>
        <v>J1, J5</v>
      </c>
      <c r="E32" s="33" t="n">
        <f aca="false">SUMPRODUCT(--($O$45:$U$47&lt;&gt;""))</f>
        <v>2</v>
      </c>
      <c r="F32" s="33" t="n">
        <f aca="false">$C$21</f>
        <v>5</v>
      </c>
      <c r="G32" s="34" t="n">
        <f aca="false">H32+I32</f>
        <v>9</v>
      </c>
      <c r="H32" s="33" t="n">
        <f aca="false">SUMPRODUCT($C$20:$I$20,--($O$45:$U$45&lt;&gt;""))+SUMPRODUCT($C$20:$I$20,--($O$46:$U$46&lt;&gt;""))+SUMPRODUCT($C$20:$I$20,--($O$47:$U$47&lt;&gt;""))</f>
        <v>9</v>
      </c>
      <c r="I32" s="33" t="n">
        <f aca="false">SUMIFS($E$521:$E$560,$C$521:$C$560,$B32,$B$521:$B$560,"&gt;="&amp;$O$4,$B$521:$B$560,"&lt;="&amp;$O$5)</f>
        <v>0</v>
      </c>
      <c r="J32" s="35" t="n">
        <f aca="false">SUMPRODUCT($C$20:$I$20,--($O$45:$U$45&lt;&gt;""))+SUMIFS($E$521:$E$560,$C$521:$C$560,$B32,$D$521:$D$560,"77W",$B$521:$B$560,"&gt;="&amp;$O$4,$B$521:$B$560,"&lt;="&amp;$O$5)</f>
        <v>0</v>
      </c>
      <c r="K32" s="35" t="n">
        <f aca="false">SUMPRODUCT($C$20:$I$20,--($O$46:$U$46&lt;&gt;""))+SUMIFS($E$521:$E$560,$C$521:$C$560,$B32,$D$521:$D$560,"778",$B$521:$B$560,"&gt;="&amp;$O$4,$B$521:$B$560,"&lt;="&amp;$O$5)</f>
        <v>9</v>
      </c>
      <c r="L32" s="35" t="n">
        <f aca="false">SUMPRODUCT($C$20:$I$20,--($O$47:$U$47&lt;&gt;""))+SUMIFS($E$521:$E$560,$C$521:$C$560,$B32,$D$521:$D$560,"A320",$B$521:$B$560,"&gt;="&amp;$O$4,$B$521:$B$560,"&lt;="&amp;$O$5)</f>
        <v>0</v>
      </c>
      <c r="N32" s="10" t="s">
        <v>99</v>
      </c>
      <c r="O32" s="12" t="str">
        <f aca="false">IFERROR(INDEX($D$49:$J$513,($O$7-1)*39+9,1)&amp;"","")</f>
        <v/>
      </c>
      <c r="P32" s="12" t="str">
        <f aca="false">IFERROR(INDEX($D$49:$J$513,($O$7-1)*39+9,2)&amp;"","")</f>
        <v/>
      </c>
      <c r="Q32" s="12" t="str">
        <f aca="false">IFERROR(INDEX($D$49:$J$513,($O$7-1)*39+9,3)&amp;"","")</f>
        <v/>
      </c>
      <c r="R32" s="12" t="str">
        <f aca="false">IFERROR(INDEX($D$49:$J$513,($O$7-1)*39+9,4)&amp;"","")</f>
        <v/>
      </c>
      <c r="S32" s="12" t="str">
        <f aca="false">IFERROR(INDEX($D$49:$J$513,($O$7-1)*39+9,5)&amp;"","")</f>
        <v/>
      </c>
      <c r="T32" s="12" t="str">
        <f aca="false">IFERROR(INDEX($D$49:$J$513,($O$7-1)*39+9,6)&amp;"","")</f>
        <v/>
      </c>
      <c r="U32" s="12" t="str">
        <f aca="false">IFERROR(INDEX($D$49:$J$513,($O$7-1)*39+9,7)&amp;"","")</f>
        <v/>
      </c>
    </row>
    <row r="33" customFormat="false" ht="24" hidden="false" customHeight="true" outlineLevel="0" collapsed="false">
      <c r="B33" s="17" t="str">
        <f aca="false">$Z$12</f>
        <v>CPTRUN</v>
      </c>
      <c r="C33" s="32" t="str">
        <f aca="false">IF(E33=0,"-",SUBSTITUTE(TRIM(IF(SUMPRODUCT(--($O$48:$U$48&lt;&gt;""))&gt;0,"77W("&amp;SUMPRODUCT(--($O$48:$U$48&lt;&gt;""))&amp;") ","")&amp;IF(SUMPRODUCT(--($O$49:$U$49&lt;&gt;""))&gt;0,"778("&amp;SUMPRODUCT(--($O$49:$U$49&lt;&gt;""))&amp;") ","")&amp;IF(SUMPRODUCT(--($O$50:$U$50&lt;&gt;""))&gt;0,"A320("&amp;SUMPRODUCT(--($O$50:$U$50&lt;&gt;""))&amp;") ",""))," ",", "))</f>
        <v>778(1)</v>
      </c>
      <c r="D33" s="32" t="str">
        <f aca="false">IF(E33=0,"aucune operation",SUBSTITUTE(TRIM(IF(SUMPRODUCT(--($O$48:$O$50&lt;&gt;""))&gt;0,"J1 ","")&amp;IF(SUMPRODUCT(--($P$48:$P$50&lt;&gt;""))&gt;0,"J2 ","")&amp;IF(SUMPRODUCT(--($Q$48:$Q$50&lt;&gt;""))&gt;0,"J3 ","")&amp;IF(SUMPRODUCT(--($R$48:$R$50&lt;&gt;""))&gt;0,"J4 ","")&amp;IF(SUMPRODUCT(--($S$48:$S$50&lt;&gt;""))&gt;0,"J5 ","")&amp;IF(SUMPRODUCT(--($T$48:$T$50&lt;&gt;""))&gt;0,"J6 ","")&amp;IF(SUMPRODUCT(--($U$48:$U$50&lt;&gt;""))&gt;0,"J7 ",""))," ",", "))</f>
        <v>J4</v>
      </c>
      <c r="E33" s="33" t="n">
        <f aca="false">SUMPRODUCT(--($O$48:$U$50&lt;&gt;""))</f>
        <v>1</v>
      </c>
      <c r="F33" s="33" t="n">
        <f aca="false">$C$21</f>
        <v>5</v>
      </c>
      <c r="G33" s="34" t="n">
        <f aca="false">H33+I33</f>
        <v>5</v>
      </c>
      <c r="H33" s="33" t="n">
        <f aca="false">SUMPRODUCT($C$20:$I$20,--($O$48:$U$48&lt;&gt;""))+SUMPRODUCT($C$20:$I$20,--($O$49:$U$49&lt;&gt;""))+SUMPRODUCT($C$20:$I$20,--($O$50:$U$50&lt;&gt;""))</f>
        <v>5</v>
      </c>
      <c r="I33" s="33" t="n">
        <f aca="false">SUMIFS($E$521:$E$560,$C$521:$C$560,$B33,$B$521:$B$560,"&gt;="&amp;$O$4,$B$521:$B$560,"&lt;="&amp;$O$5)</f>
        <v>0</v>
      </c>
      <c r="J33" s="35" t="n">
        <f aca="false">SUMPRODUCT($C$20:$I$20,--($O$48:$U$48&lt;&gt;""))+SUMIFS($E$521:$E$560,$C$521:$C$560,$B33,$D$521:$D$560,"77W",$B$521:$B$560,"&gt;="&amp;$O$4,$B$521:$B$560,"&lt;="&amp;$O$5)</f>
        <v>0</v>
      </c>
      <c r="K33" s="35" t="n">
        <f aca="false">SUMPRODUCT($C$20:$I$20,--($O$49:$U$49&lt;&gt;""))+SUMIFS($E$521:$E$560,$C$521:$C$560,$B33,$D$521:$D$560,"778",$B$521:$B$560,"&gt;="&amp;$O$4,$B$521:$B$560,"&lt;="&amp;$O$5)</f>
        <v>5</v>
      </c>
      <c r="L33" s="35" t="n">
        <f aca="false">SUMPRODUCT($C$20:$I$20,--($O$50:$U$50&lt;&gt;""))+SUMIFS($E$521:$E$560,$C$521:$C$560,$B33,$D$521:$D$560,"A320",$B$521:$B$560,"&gt;="&amp;$O$4,$B$521:$B$560,"&lt;="&amp;$O$5)</f>
        <v>0</v>
      </c>
      <c r="N33" s="10" t="s">
        <v>100</v>
      </c>
      <c r="O33" s="12" t="str">
        <f aca="false">IFERROR(INDEX($D$49:$J$513,($O$7-1)*39+10,1)&amp;"","")</f>
        <v/>
      </c>
      <c r="P33" s="12" t="str">
        <f aca="false">IFERROR(INDEX($D$49:$J$513,($O$7-1)*39+10,2)&amp;"","")</f>
        <v/>
      </c>
      <c r="Q33" s="12" t="str">
        <f aca="false">IFERROR(INDEX($D$49:$J$513,($O$7-1)*39+10,3)&amp;"","")</f>
        <v/>
      </c>
      <c r="R33" s="12" t="str">
        <f aca="false">IFERROR(INDEX($D$49:$J$513,($O$7-1)*39+10,4)&amp;"","")</f>
        <v/>
      </c>
      <c r="S33" s="12" t="str">
        <f aca="false">IFERROR(INDEX($D$49:$J$513,($O$7-1)*39+10,5)&amp;"","")</f>
        <v/>
      </c>
      <c r="T33" s="12" t="str">
        <f aca="false">IFERROR(INDEX($D$49:$J$513,($O$7-1)*39+10,6)&amp;"","")</f>
        <v/>
      </c>
      <c r="U33" s="12" t="str">
        <f aca="false">IFERROR(INDEX($D$49:$J$513,($O$7-1)*39+10,7)&amp;"","")</f>
        <v/>
      </c>
    </row>
    <row r="34" customFormat="false" ht="24" hidden="false" customHeight="true" outlineLevel="0" collapsed="false">
      <c r="B34" s="17" t="str">
        <f aca="false">$Z$13</f>
        <v>DIERUN</v>
      </c>
      <c r="C34" s="32" t="str">
        <f aca="false">IF(E34=0,"-",SUBSTITUTE(TRIM(IF(SUMPRODUCT(--($O$51:$U$51&lt;&gt;""))&gt;0,"77W("&amp;SUMPRODUCT(--($O$51:$U$51&lt;&gt;""))&amp;") ","")&amp;IF(SUMPRODUCT(--($O$52:$U$52&lt;&gt;""))&gt;0,"778("&amp;SUMPRODUCT(--($O$52:$U$52&lt;&gt;""))&amp;") ","")&amp;IF(SUMPRODUCT(--($O$53:$U$53&lt;&gt;""))&gt;0,"A320("&amp;SUMPRODUCT(--($O$53:$U$53&lt;&gt;""))&amp;") ",""))," ",", "))</f>
        <v>A320(2)</v>
      </c>
      <c r="D34" s="32" t="str">
        <f aca="false">IF(E34=0,"aucune operation",SUBSTITUTE(TRIM(IF(SUMPRODUCT(--($O$51:$O$53&lt;&gt;""))&gt;0,"J1 ","")&amp;IF(SUMPRODUCT(--($P$51:$P$53&lt;&gt;""))&gt;0,"J2 ","")&amp;IF(SUMPRODUCT(--($Q$51:$Q$53&lt;&gt;""))&gt;0,"J3 ","")&amp;IF(SUMPRODUCT(--($R$51:$R$53&lt;&gt;""))&gt;0,"J4 ","")&amp;IF(SUMPRODUCT(--($S$51:$S$53&lt;&gt;""))&gt;0,"J5 ","")&amp;IF(SUMPRODUCT(--($T$51:$T$53&lt;&gt;""))&gt;0,"J6 ","")&amp;IF(SUMPRODUCT(--($U$51:$U$53&lt;&gt;""))&gt;0,"J7 ",""))," ",", "))</f>
        <v>J2, J6</v>
      </c>
      <c r="E34" s="33" t="n">
        <f aca="false">SUMPRODUCT(--($O$51:$U$53&lt;&gt;""))</f>
        <v>2</v>
      </c>
      <c r="F34" s="33" t="n">
        <f aca="false">$C$21</f>
        <v>5</v>
      </c>
      <c r="G34" s="34" t="n">
        <f aca="false">H34+I34</f>
        <v>8</v>
      </c>
      <c r="H34" s="33" t="n">
        <f aca="false">SUMPRODUCT($C$20:$I$20,--($O$51:$U$51&lt;&gt;""))+SUMPRODUCT($C$20:$I$20,--($O$52:$U$52&lt;&gt;""))+SUMPRODUCT($C$20:$I$20,--($O$53:$U$53&lt;&gt;""))</f>
        <v>8</v>
      </c>
      <c r="I34" s="33" t="n">
        <f aca="false">SUMIFS($E$521:$E$560,$C$521:$C$560,$B34,$B$521:$B$560,"&gt;="&amp;$O$4,$B$521:$B$560,"&lt;="&amp;$O$5)</f>
        <v>0</v>
      </c>
      <c r="J34" s="35" t="n">
        <f aca="false">SUMPRODUCT($C$20:$I$20,--($O$51:$U$51&lt;&gt;""))+SUMIFS($E$521:$E$560,$C$521:$C$560,$B34,$D$521:$D$560,"77W",$B$521:$B$560,"&gt;="&amp;$O$4,$B$521:$B$560,"&lt;="&amp;$O$5)</f>
        <v>0</v>
      </c>
      <c r="K34" s="35" t="n">
        <f aca="false">SUMPRODUCT($C$20:$I$20,--($O$52:$U$52&lt;&gt;""))+SUMIFS($E$521:$E$560,$C$521:$C$560,$B34,$D$521:$D$560,"778",$B$521:$B$560,"&gt;="&amp;$O$4,$B$521:$B$560,"&lt;="&amp;$O$5)</f>
        <v>0</v>
      </c>
      <c r="L34" s="35" t="n">
        <f aca="false">SUMPRODUCT($C$20:$I$20,--($O$53:$U$53&lt;&gt;""))+SUMIFS($E$521:$E$560,$C$521:$C$560,$B34,$D$521:$D$560,"A320",$B$521:$B$560,"&gt;="&amp;$O$4,$B$521:$B$560,"&lt;="&amp;$O$5)</f>
        <v>8</v>
      </c>
      <c r="N34" s="10" t="s">
        <v>101</v>
      </c>
      <c r="O34" s="12" t="str">
        <f aca="false">IFERROR(INDEX($D$49:$J$513,($O$7-1)*39+11,1)&amp;"","")</f>
        <v/>
      </c>
      <c r="P34" s="12" t="str">
        <f aca="false">IFERROR(INDEX($D$49:$J$513,($O$7-1)*39+11,2)&amp;"","")</f>
        <v/>
      </c>
      <c r="Q34" s="12" t="str">
        <f aca="false">IFERROR(INDEX($D$49:$J$513,($O$7-1)*39+11,3)&amp;"","")</f>
        <v>x</v>
      </c>
      <c r="R34" s="12" t="str">
        <f aca="false">IFERROR(INDEX($D$49:$J$513,($O$7-1)*39+11,4)&amp;"","")</f>
        <v/>
      </c>
      <c r="S34" s="12" t="str">
        <f aca="false">IFERROR(INDEX($D$49:$J$513,($O$7-1)*39+11,5)&amp;"","")</f>
        <v/>
      </c>
      <c r="T34" s="12" t="str">
        <f aca="false">IFERROR(INDEX($D$49:$J$513,($O$7-1)*39+11,6)&amp;"","")</f>
        <v/>
      </c>
      <c r="U34" s="12" t="str">
        <f aca="false">IFERROR(INDEX($D$49:$J$513,($O$7-1)*39+11,7)&amp;"","")</f>
        <v/>
      </c>
    </row>
    <row r="35" customFormat="false" ht="24" hidden="false" customHeight="true" outlineLevel="0" collapsed="false">
      <c r="B35" s="17" t="str">
        <f aca="false">$Z$14</f>
        <v>RRGRUN</v>
      </c>
      <c r="C35" s="32" t="str">
        <f aca="false">IF(E35=0,"-",SUBSTITUTE(TRIM(IF(SUMPRODUCT(--($O$54:$U$54&lt;&gt;""))&gt;0,"77W("&amp;SUMPRODUCT(--($O$54:$U$54&lt;&gt;""))&amp;") ","")&amp;IF(SUMPRODUCT(--($O$55:$U$55&lt;&gt;""))&gt;0,"778("&amp;SUMPRODUCT(--($O$55:$U$55&lt;&gt;""))&amp;") ","")&amp;IF(SUMPRODUCT(--($O$56:$U$56&lt;&gt;""))&gt;0,"A320("&amp;SUMPRODUCT(--($O$56:$U$56&lt;&gt;""))&amp;") ",""))," ",", "))</f>
        <v>A320(6)</v>
      </c>
      <c r="D35" s="32" t="str">
        <f aca="false">IF(E35=0,"aucune operation",SUBSTITUTE(TRIM(IF(SUMPRODUCT(--($O$54:$O$56&lt;&gt;""))&gt;0,"J1 ","")&amp;IF(SUMPRODUCT(--($P$54:$P$56&lt;&gt;""))&gt;0,"J2 ","")&amp;IF(SUMPRODUCT(--($Q$54:$Q$56&lt;&gt;""))&gt;0,"J3 ","")&amp;IF(SUMPRODUCT(--($R$54:$R$56&lt;&gt;""))&gt;0,"J4 ","")&amp;IF(SUMPRODUCT(--($S$54:$S$56&lt;&gt;""))&gt;0,"J5 ","")&amp;IF(SUMPRODUCT(--($T$54:$T$56&lt;&gt;""))&gt;0,"J6 ","")&amp;IF(SUMPRODUCT(--($U$54:$U$56&lt;&gt;""))&gt;0,"J7 ",""))," ",", "))</f>
        <v>J1, J2, J3, J4, J5, J6</v>
      </c>
      <c r="E35" s="33" t="n">
        <f aca="false">SUMPRODUCT(--($O$54:$U$56&lt;&gt;""))</f>
        <v>6</v>
      </c>
      <c r="F35" s="33" t="n">
        <f aca="false">$C$21</f>
        <v>5</v>
      </c>
      <c r="G35" s="34" t="n">
        <f aca="false">H35+I35</f>
        <v>26</v>
      </c>
      <c r="H35" s="33" t="n">
        <f aca="false">SUMPRODUCT($C$20:$I$20,--($O$54:$U$54&lt;&gt;""))+SUMPRODUCT($C$20:$I$20,--($O$55:$U$55&lt;&gt;""))+SUMPRODUCT($C$20:$I$20,--($O$56:$U$56&lt;&gt;""))</f>
        <v>26</v>
      </c>
      <c r="I35" s="33" t="n">
        <f aca="false">SUMIFS($E$521:$E$560,$C$521:$C$560,$B35,$B$521:$B$560,"&gt;="&amp;$O$4,$B$521:$B$560,"&lt;="&amp;$O$5)</f>
        <v>0</v>
      </c>
      <c r="J35" s="35" t="n">
        <f aca="false">SUMPRODUCT($C$20:$I$20,--($O$54:$U$54&lt;&gt;""))+SUMIFS($E$521:$E$560,$C$521:$C$560,$B35,$D$521:$D$560,"77W",$B$521:$B$560,"&gt;="&amp;$O$4,$B$521:$B$560,"&lt;="&amp;$O$5)</f>
        <v>0</v>
      </c>
      <c r="K35" s="35" t="n">
        <f aca="false">SUMPRODUCT($C$20:$I$20,--($O$55:$U$55&lt;&gt;""))+SUMIFS($E$521:$E$560,$C$521:$C$560,$B35,$D$521:$D$560,"778",$B$521:$B$560,"&gt;="&amp;$O$4,$B$521:$B$560,"&lt;="&amp;$O$5)</f>
        <v>0</v>
      </c>
      <c r="L35" s="35" t="n">
        <f aca="false">SUMPRODUCT($C$20:$I$20,--($O$56:$U$56&lt;&gt;""))+SUMIFS($E$521:$E$560,$C$521:$C$560,$B35,$D$521:$D$560,"A320",$B$521:$B$560,"&gt;="&amp;$O$4,$B$521:$B$560,"&lt;="&amp;$O$5)</f>
        <v>26</v>
      </c>
      <c r="N35" s="10" t="s">
        <v>102</v>
      </c>
      <c r="O35" s="12" t="str">
        <f aca="false">IFERROR(INDEX($D$49:$J$513,($O$7-1)*39+12,1)&amp;"","")</f>
        <v>x</v>
      </c>
      <c r="P35" s="12" t="str">
        <f aca="false">IFERROR(INDEX($D$49:$J$513,($O$7-1)*39+12,2)&amp;"","")</f>
        <v>x</v>
      </c>
      <c r="Q35" s="12" t="str">
        <f aca="false">IFERROR(INDEX($D$49:$J$513,($O$7-1)*39+12,3)&amp;"","")</f>
        <v>x</v>
      </c>
      <c r="R35" s="12" t="str">
        <f aca="false">IFERROR(INDEX($D$49:$J$513,($O$7-1)*39+12,4)&amp;"","")</f>
        <v>x</v>
      </c>
      <c r="S35" s="12" t="str">
        <f aca="false">IFERROR(INDEX($D$49:$J$513,($O$7-1)*39+12,5)&amp;"","")</f>
        <v>x</v>
      </c>
      <c r="T35" s="12" t="str">
        <f aca="false">IFERROR(INDEX($D$49:$J$513,($O$7-1)*39+12,6)&amp;"","")</f>
        <v/>
      </c>
      <c r="U35" s="12" t="str">
        <f aca="false">IFERROR(INDEX($D$49:$J$513,($O$7-1)*39+12,7)&amp;"","")</f>
        <v/>
      </c>
    </row>
    <row r="36" customFormat="false" ht="24" hidden="false" customHeight="true" outlineLevel="0" collapsed="false">
      <c r="B36" s="17" t="str">
        <f aca="false">$Z$15</f>
        <v>TMMRUN</v>
      </c>
      <c r="C36" s="32" t="str">
        <f aca="false">IF(E36=0,"-",SUBSTITUTE(TRIM(IF(SUMPRODUCT(--($O$57:$U$57&lt;&gt;""))&gt;0,"77W("&amp;SUMPRODUCT(--($O$57:$U$57&lt;&gt;""))&amp;") ","")&amp;IF(SUMPRODUCT(--($O$58:$U$58&lt;&gt;""))&gt;0,"778("&amp;SUMPRODUCT(--($O$58:$U$58&lt;&gt;""))&amp;") ","")&amp;IF(SUMPRODUCT(--($O$59:$U$59&lt;&gt;""))&gt;0,"A320("&amp;SUMPRODUCT(--($O$59:$U$59&lt;&gt;""))&amp;") ",""))," ",", "))</f>
        <v>A320(2)</v>
      </c>
      <c r="D36" s="32" t="str">
        <f aca="false">IF(E36=0,"aucune operation",SUBSTITUTE(TRIM(IF(SUMPRODUCT(--($O$57:$O$59&lt;&gt;""))&gt;0,"J1 ","")&amp;IF(SUMPRODUCT(--($P$57:$P$59&lt;&gt;""))&gt;0,"J2 ","")&amp;IF(SUMPRODUCT(--($Q$57:$Q$59&lt;&gt;""))&gt;0,"J3 ","")&amp;IF(SUMPRODUCT(--($R$57:$R$59&lt;&gt;""))&gt;0,"J4 ","")&amp;IF(SUMPRODUCT(--($S$57:$S$59&lt;&gt;""))&gt;0,"J5 ","")&amp;IF(SUMPRODUCT(--($T$57:$T$59&lt;&gt;""))&gt;0,"J6 ","")&amp;IF(SUMPRODUCT(--($U$57:$U$59&lt;&gt;""))&gt;0,"J7 ",""))," ",", "))</f>
        <v>J3, J7</v>
      </c>
      <c r="E36" s="33" t="n">
        <f aca="false">SUMPRODUCT(--($O$57:$U$59&lt;&gt;""))</f>
        <v>2</v>
      </c>
      <c r="F36" s="33" t="n">
        <f aca="false">$C$21</f>
        <v>5</v>
      </c>
      <c r="G36" s="34" t="n">
        <f aca="false">H36+I36</f>
        <v>8</v>
      </c>
      <c r="H36" s="33" t="n">
        <f aca="false">SUMPRODUCT($C$20:$I$20,--($O$57:$U$57&lt;&gt;""))+SUMPRODUCT($C$20:$I$20,--($O$58:$U$58&lt;&gt;""))+SUMPRODUCT($C$20:$I$20,--($O$59:$U$59&lt;&gt;""))</f>
        <v>8</v>
      </c>
      <c r="I36" s="33" t="n">
        <f aca="false">SUMIFS($E$521:$E$560,$C$521:$C$560,$B36,$B$521:$B$560,"&gt;="&amp;$O$4,$B$521:$B$560,"&lt;="&amp;$O$5)</f>
        <v>0</v>
      </c>
      <c r="J36" s="35" t="n">
        <f aca="false">SUMPRODUCT($C$20:$I$20,--($O$57:$U$57&lt;&gt;""))+SUMIFS($E$521:$E$560,$C$521:$C$560,$B36,$D$521:$D$560,"77W",$B$521:$B$560,"&gt;="&amp;$O$4,$B$521:$B$560,"&lt;="&amp;$O$5)</f>
        <v>0</v>
      </c>
      <c r="K36" s="35" t="n">
        <f aca="false">SUMPRODUCT($C$20:$I$20,--($O$58:$U$58&lt;&gt;""))+SUMIFS($E$521:$E$560,$C$521:$C$560,$B36,$D$521:$D$560,"778",$B$521:$B$560,"&gt;="&amp;$O$4,$B$521:$B$560,"&lt;="&amp;$O$5)</f>
        <v>0</v>
      </c>
      <c r="L36" s="35" t="n">
        <f aca="false">SUMPRODUCT($C$20:$I$20,--($O$59:$U$59&lt;&gt;""))+SUMIFS($E$521:$E$560,$C$521:$C$560,$B36,$D$521:$D$560,"A320",$B$521:$B$560,"&gt;="&amp;$O$4,$B$521:$B$560,"&lt;="&amp;$O$5)</f>
        <v>8</v>
      </c>
      <c r="N36" s="10" t="s">
        <v>103</v>
      </c>
      <c r="O36" s="12" t="str">
        <f aca="false">IFERROR(INDEX($D$49:$J$513,($O$7-1)*39+13,1)&amp;"","")</f>
        <v/>
      </c>
      <c r="P36" s="12" t="str">
        <f aca="false">IFERROR(INDEX($D$49:$J$513,($O$7-1)*39+13,2)&amp;"","")</f>
        <v/>
      </c>
      <c r="Q36" s="12" t="str">
        <f aca="false">IFERROR(INDEX($D$49:$J$513,($O$7-1)*39+13,3)&amp;"","")</f>
        <v/>
      </c>
      <c r="R36" s="12" t="str">
        <f aca="false">IFERROR(INDEX($D$49:$J$513,($O$7-1)*39+13,4)&amp;"","")</f>
        <v/>
      </c>
      <c r="S36" s="12" t="str">
        <f aca="false">IFERROR(INDEX($D$49:$J$513,($O$7-1)*39+13,5)&amp;"","")</f>
        <v/>
      </c>
      <c r="T36" s="12" t="str">
        <f aca="false">IFERROR(INDEX($D$49:$J$513,($O$7-1)*39+13,6)&amp;"","")</f>
        <v/>
      </c>
      <c r="U36" s="12" t="str">
        <f aca="false">IFERROR(INDEX($D$49:$J$513,($O$7-1)*39+13,7)&amp;"","")</f>
        <v/>
      </c>
    </row>
    <row r="37" customFormat="false" ht="15" hidden="false" customHeight="false" outlineLevel="0" collapsed="false">
      <c r="B37" s="36" t="s">
        <v>104</v>
      </c>
      <c r="C37" s="37"/>
      <c r="D37" s="37"/>
      <c r="E37" s="38" t="n">
        <f aca="false">SUM(E25:E36)</f>
        <v>44</v>
      </c>
      <c r="F37" s="38" t="n">
        <f aca="false">$C$21</f>
        <v>5</v>
      </c>
      <c r="G37" s="39" t="n">
        <f aca="false">SUM(G25:G36)</f>
        <v>193</v>
      </c>
      <c r="H37" s="38" t="n">
        <f aca="false">SUM(H25:H36)</f>
        <v>189</v>
      </c>
      <c r="I37" s="38" t="n">
        <f aca="false">SUM(I25:I36)</f>
        <v>4</v>
      </c>
      <c r="J37" s="38" t="n">
        <f aca="false">SUM(J25:J36)</f>
        <v>34</v>
      </c>
      <c r="K37" s="38" t="n">
        <f aca="false">SUM(K25:K36)</f>
        <v>46</v>
      </c>
      <c r="L37" s="38" t="n">
        <f aca="false">SUM(L25:L36)</f>
        <v>113</v>
      </c>
      <c r="N37" s="10" t="s">
        <v>105</v>
      </c>
      <c r="O37" s="12" t="str">
        <f aca="false">IFERROR(INDEX($D$49:$J$513,($O$7-1)*39+14,1)&amp;"","")</f>
        <v/>
      </c>
      <c r="P37" s="12" t="str">
        <f aca="false">IFERROR(INDEX($D$49:$J$513,($O$7-1)*39+14,2)&amp;"","")</f>
        <v/>
      </c>
      <c r="Q37" s="12" t="str">
        <f aca="false">IFERROR(INDEX($D$49:$J$513,($O$7-1)*39+14,3)&amp;"","")</f>
        <v/>
      </c>
      <c r="R37" s="12" t="str">
        <f aca="false">IFERROR(INDEX($D$49:$J$513,($O$7-1)*39+14,4)&amp;"","")</f>
        <v/>
      </c>
      <c r="S37" s="12" t="str">
        <f aca="false">IFERROR(INDEX($D$49:$J$513,($O$7-1)*39+14,5)&amp;"","")</f>
        <v/>
      </c>
      <c r="T37" s="12" t="str">
        <f aca="false">IFERROR(INDEX($D$49:$J$513,($O$7-1)*39+14,6)&amp;"","")</f>
        <v/>
      </c>
      <c r="U37" s="12" t="str">
        <f aca="false">IFERROR(INDEX($D$49:$J$513,($O$7-1)*39+14,7)&amp;"","")</f>
        <v/>
      </c>
    </row>
    <row r="38" customFormat="false" ht="15" hidden="false" customHeight="true" outlineLevel="0" collapsed="false">
      <c r="B38" s="40" t="s">
        <v>106</v>
      </c>
      <c r="C38" s="40"/>
      <c r="D38" s="40"/>
      <c r="E38" s="40"/>
      <c r="F38" s="40"/>
      <c r="G38" s="40"/>
      <c r="H38" s="40"/>
      <c r="I38" s="40"/>
      <c r="J38" s="40"/>
      <c r="K38" s="40"/>
      <c r="L38" s="40"/>
      <c r="N38" s="10" t="s">
        <v>107</v>
      </c>
      <c r="O38" s="12" t="str">
        <f aca="false">IFERROR(INDEX($D$49:$J$513,($O$7-1)*39+15,1)&amp;"","")</f>
        <v>x</v>
      </c>
      <c r="P38" s="12" t="str">
        <f aca="false">IFERROR(INDEX($D$49:$J$513,($O$7-1)*39+15,2)&amp;"","")</f>
        <v/>
      </c>
      <c r="Q38" s="12" t="str">
        <f aca="false">IFERROR(INDEX($D$49:$J$513,($O$7-1)*39+15,3)&amp;"","")</f>
        <v>x</v>
      </c>
      <c r="R38" s="12" t="str">
        <f aca="false">IFERROR(INDEX($D$49:$J$513,($O$7-1)*39+15,4)&amp;"","")</f>
        <v/>
      </c>
      <c r="S38" s="12" t="str">
        <f aca="false">IFERROR(INDEX($D$49:$J$513,($O$7-1)*39+15,5)&amp;"","")</f>
        <v>x</v>
      </c>
      <c r="T38" s="12" t="str">
        <f aca="false">IFERROR(INDEX($D$49:$J$513,($O$7-1)*39+15,6)&amp;"","")</f>
        <v/>
      </c>
      <c r="U38" s="12" t="str">
        <f aca="false">IFERROR(INDEX($D$49:$J$513,($O$7-1)*39+15,7)&amp;"","")</f>
        <v>x</v>
      </c>
    </row>
    <row r="39" customFormat="false" ht="15" hidden="false" customHeight="false" outlineLevel="0" collapsed="false">
      <c r="B39" s="40"/>
      <c r="C39" s="40"/>
      <c r="D39" s="40"/>
      <c r="E39" s="40"/>
      <c r="F39" s="40"/>
      <c r="G39" s="40"/>
      <c r="H39" s="40"/>
      <c r="I39" s="40"/>
      <c r="J39" s="40"/>
      <c r="K39" s="40"/>
      <c r="L39" s="40"/>
      <c r="N39" s="10" t="s">
        <v>108</v>
      </c>
      <c r="O39" s="12" t="str">
        <f aca="false">IFERROR(INDEX($D$49:$J$513,($O$7-1)*39+16,1)&amp;"","")</f>
        <v/>
      </c>
      <c r="P39" s="12" t="str">
        <f aca="false">IFERROR(INDEX($D$49:$J$513,($O$7-1)*39+16,2)&amp;"","")</f>
        <v/>
      </c>
      <c r="Q39" s="12" t="str">
        <f aca="false">IFERROR(INDEX($D$49:$J$513,($O$7-1)*39+16,3)&amp;"","")</f>
        <v/>
      </c>
      <c r="R39" s="12" t="str">
        <f aca="false">IFERROR(INDEX($D$49:$J$513,($O$7-1)*39+16,4)&amp;"","")</f>
        <v/>
      </c>
      <c r="S39" s="12" t="str">
        <f aca="false">IFERROR(INDEX($D$49:$J$513,($O$7-1)*39+16,5)&amp;"","")</f>
        <v/>
      </c>
      <c r="T39" s="12" t="str">
        <f aca="false">IFERROR(INDEX($D$49:$J$513,($O$7-1)*39+16,6)&amp;"","")</f>
        <v/>
      </c>
      <c r="U39" s="12" t="str">
        <f aca="false">IFERROR(INDEX($D$49:$J$513,($O$7-1)*39+16,7)&amp;"","")</f>
        <v/>
      </c>
    </row>
    <row r="40" customFormat="false" ht="15" hidden="false" customHeight="false" outlineLevel="0" collapsed="false">
      <c r="N40" s="10" t="s">
        <v>109</v>
      </c>
      <c r="O40" s="12" t="str">
        <f aca="false">IFERROR(INDEX($D$49:$J$513,($O$7-1)*39+17,1)&amp;"","")</f>
        <v/>
      </c>
      <c r="P40" s="12" t="str">
        <f aca="false">IFERROR(INDEX($D$49:$J$513,($O$7-1)*39+17,2)&amp;"","")</f>
        <v/>
      </c>
      <c r="Q40" s="12" t="str">
        <f aca="false">IFERROR(INDEX($D$49:$J$513,($O$7-1)*39+17,3)&amp;"","")</f>
        <v/>
      </c>
      <c r="R40" s="12" t="str">
        <f aca="false">IFERROR(INDEX($D$49:$J$513,($O$7-1)*39+17,4)&amp;"","")</f>
        <v/>
      </c>
      <c r="S40" s="12" t="str">
        <f aca="false">IFERROR(INDEX($D$49:$J$513,($O$7-1)*39+17,5)&amp;"","")</f>
        <v/>
      </c>
      <c r="T40" s="12" t="str">
        <f aca="false">IFERROR(INDEX($D$49:$J$513,($O$7-1)*39+17,6)&amp;"","")</f>
        <v/>
      </c>
      <c r="U40" s="12" t="str">
        <f aca="false">IFERROR(INDEX($D$49:$J$513,($O$7-1)*39+17,7)&amp;"","")</f>
        <v/>
      </c>
    </row>
    <row r="41" customFormat="false" ht="15" hidden="false" customHeight="false" outlineLevel="0" collapsed="false">
      <c r="B41" s="41" t="s">
        <v>110</v>
      </c>
      <c r="C41" s="41"/>
      <c r="D41" s="41"/>
      <c r="E41" s="41"/>
      <c r="F41" s="41"/>
      <c r="G41" s="41"/>
      <c r="H41" s="41"/>
      <c r="I41" s="41"/>
      <c r="J41" s="41"/>
      <c r="K41" s="41"/>
      <c r="L41" s="41"/>
      <c r="N41" s="10" t="s">
        <v>111</v>
      </c>
      <c r="O41" s="12" t="str">
        <f aca="false">IFERROR(INDEX($D$49:$J$513,($O$7-1)*39+18,1)&amp;"","")</f>
        <v>x</v>
      </c>
      <c r="P41" s="12" t="str">
        <f aca="false">IFERROR(INDEX($D$49:$J$513,($O$7-1)*39+18,2)&amp;"","")</f>
        <v/>
      </c>
      <c r="Q41" s="12" t="str">
        <f aca="false">IFERROR(INDEX($D$49:$J$513,($O$7-1)*39+18,3)&amp;"","")</f>
        <v/>
      </c>
      <c r="R41" s="12" t="str">
        <f aca="false">IFERROR(INDEX($D$49:$J$513,($O$7-1)*39+18,4)&amp;"","")</f>
        <v>x</v>
      </c>
      <c r="S41" s="12" t="str">
        <f aca="false">IFERROR(INDEX($D$49:$J$513,($O$7-1)*39+18,5)&amp;"","")</f>
        <v/>
      </c>
      <c r="T41" s="12" t="str">
        <f aca="false">IFERROR(INDEX($D$49:$J$513,($O$7-1)*39+18,6)&amp;"","")</f>
        <v>x</v>
      </c>
      <c r="U41" s="12" t="str">
        <f aca="false">IFERROR(INDEX($D$49:$J$513,($O$7-1)*39+18,7)&amp;"","")</f>
        <v/>
      </c>
    </row>
    <row r="42" customFormat="false" ht="57.75" hidden="false" customHeight="true" outlineLevel="0" collapsed="false">
      <c r="B42" s="42" t="s">
        <v>112</v>
      </c>
      <c r="C42" s="42"/>
      <c r="D42" s="42"/>
      <c r="E42" s="42"/>
      <c r="F42" s="42"/>
      <c r="G42" s="42"/>
      <c r="H42" s="42"/>
      <c r="I42" s="42"/>
      <c r="J42" s="42"/>
      <c r="K42" s="42"/>
      <c r="L42" s="42"/>
      <c r="N42" s="10" t="s">
        <v>113</v>
      </c>
      <c r="O42" s="12" t="str">
        <f aca="false">IFERROR(INDEX($D$49:$J$513,($O$7-1)*39+19,1)&amp;"","")</f>
        <v/>
      </c>
      <c r="P42" s="12" t="str">
        <f aca="false">IFERROR(INDEX($D$49:$J$513,($O$7-1)*39+19,2)&amp;"","")</f>
        <v/>
      </c>
      <c r="Q42" s="12" t="str">
        <f aca="false">IFERROR(INDEX($D$49:$J$513,($O$7-1)*39+19,3)&amp;"","")</f>
        <v/>
      </c>
      <c r="R42" s="12" t="str">
        <f aca="false">IFERROR(INDEX($D$49:$J$513,($O$7-1)*39+19,4)&amp;"","")</f>
        <v/>
      </c>
      <c r="S42" s="12" t="str">
        <f aca="false">IFERROR(INDEX($D$49:$J$513,($O$7-1)*39+19,5)&amp;"","")</f>
        <v/>
      </c>
      <c r="T42" s="12" t="str">
        <f aca="false">IFERROR(INDEX($D$49:$J$513,($O$7-1)*39+19,6)&amp;"","")</f>
        <v/>
      </c>
      <c r="U42" s="12" t="str">
        <f aca="false">IFERROR(INDEX($D$49:$J$513,($O$7-1)*39+19,7)&amp;"","")</f>
        <v/>
      </c>
    </row>
    <row r="43" customFormat="false" ht="15" hidden="false" customHeight="false" outlineLevel="0" collapsed="false">
      <c r="B43" s="42"/>
      <c r="C43" s="42"/>
      <c r="D43" s="42"/>
      <c r="E43" s="42"/>
      <c r="F43" s="42"/>
      <c r="G43" s="42"/>
      <c r="H43" s="42"/>
      <c r="I43" s="42"/>
      <c r="J43" s="42"/>
      <c r="K43" s="42"/>
      <c r="L43" s="42"/>
      <c r="N43" s="10" t="s">
        <v>114</v>
      </c>
      <c r="O43" s="12" t="str">
        <f aca="false">IFERROR(INDEX($D$49:$J$513,($O$7-1)*39+20,1)&amp;"","")</f>
        <v/>
      </c>
      <c r="P43" s="12" t="str">
        <f aca="false">IFERROR(INDEX($D$49:$J$513,($O$7-1)*39+20,2)&amp;"","")</f>
        <v/>
      </c>
      <c r="Q43" s="12" t="str">
        <f aca="false">IFERROR(INDEX($D$49:$J$513,($O$7-1)*39+20,3)&amp;"","")</f>
        <v/>
      </c>
      <c r="R43" s="12" t="str">
        <f aca="false">IFERROR(INDEX($D$49:$J$513,($O$7-1)*39+20,4)&amp;"","")</f>
        <v/>
      </c>
      <c r="S43" s="12" t="str">
        <f aca="false">IFERROR(INDEX($D$49:$J$513,($O$7-1)*39+20,5)&amp;"","")</f>
        <v/>
      </c>
      <c r="T43" s="12" t="str">
        <f aca="false">IFERROR(INDEX($D$49:$J$513,($O$7-1)*39+20,6)&amp;"","")</f>
        <v/>
      </c>
      <c r="U43" s="12" t="str">
        <f aca="false">IFERROR(INDEX($D$49:$J$513,($O$7-1)*39+20,7)&amp;"","")</f>
        <v/>
      </c>
    </row>
    <row r="44" customFormat="false" ht="15" hidden="false" customHeight="false" outlineLevel="0" collapsed="false">
      <c r="B44" s="43" t="s">
        <v>115</v>
      </c>
      <c r="C44" s="44" t="s">
        <v>8</v>
      </c>
      <c r="D44" s="44" t="s">
        <v>17</v>
      </c>
      <c r="E44" s="44" t="s">
        <v>22</v>
      </c>
      <c r="F44" s="44" t="s">
        <v>34</v>
      </c>
      <c r="G44" s="44" t="s">
        <v>38</v>
      </c>
      <c r="H44" s="44" t="s">
        <v>41</v>
      </c>
      <c r="N44" s="10" t="s">
        <v>116</v>
      </c>
      <c r="O44" s="12" t="str">
        <f aca="false">IFERROR(INDEX($D$49:$J$513,($O$7-1)*39+21,1)&amp;"","")</f>
        <v/>
      </c>
      <c r="P44" s="12" t="str">
        <f aca="false">IFERROR(INDEX($D$49:$J$513,($O$7-1)*39+21,2)&amp;"","")</f>
        <v>x</v>
      </c>
      <c r="Q44" s="12" t="str">
        <f aca="false">IFERROR(INDEX($D$49:$J$513,($O$7-1)*39+21,3)&amp;"","")</f>
        <v/>
      </c>
      <c r="R44" s="12" t="str">
        <f aca="false">IFERROR(INDEX($D$49:$J$513,($O$7-1)*39+21,4)&amp;"","")</f>
        <v>x</v>
      </c>
      <c r="S44" s="12" t="str">
        <f aca="false">IFERROR(INDEX($D$49:$J$513,($O$7-1)*39+21,5)&amp;"","")</f>
        <v/>
      </c>
      <c r="T44" s="12" t="str">
        <f aca="false">IFERROR(INDEX($D$49:$J$513,($O$7-1)*39+21,6)&amp;"","")</f>
        <v>x</v>
      </c>
      <c r="U44" s="12" t="str">
        <f aca="false">IFERROR(INDEX($D$49:$J$513,($O$7-1)*39+21,7)&amp;"","")</f>
        <v/>
      </c>
    </row>
    <row r="45" customFormat="false" ht="15" hidden="false" customHeight="false" outlineLevel="0" collapsed="false">
      <c r="B45" s="45" t="s">
        <v>117</v>
      </c>
      <c r="C45" s="44" t="s">
        <v>44</v>
      </c>
      <c r="D45" s="44" t="s">
        <v>47</v>
      </c>
      <c r="E45" s="44" t="s">
        <v>51</v>
      </c>
      <c r="F45" s="44" t="s">
        <v>54</v>
      </c>
      <c r="G45" s="44" t="s">
        <v>57</v>
      </c>
      <c r="H45" s="44" t="s">
        <v>60</v>
      </c>
      <c r="N45" s="10" t="s">
        <v>118</v>
      </c>
      <c r="O45" s="12" t="str">
        <f aca="false">IFERROR(INDEX($D$49:$J$513,($O$7-1)*39+22,1)&amp;"","")</f>
        <v/>
      </c>
      <c r="P45" s="12" t="str">
        <f aca="false">IFERROR(INDEX($D$49:$J$513,($O$7-1)*39+22,2)&amp;"","")</f>
        <v/>
      </c>
      <c r="Q45" s="12" t="str">
        <f aca="false">IFERROR(INDEX($D$49:$J$513,($O$7-1)*39+22,3)&amp;"","")</f>
        <v/>
      </c>
      <c r="R45" s="12" t="str">
        <f aca="false">IFERROR(INDEX($D$49:$J$513,($O$7-1)*39+22,4)&amp;"","")</f>
        <v/>
      </c>
      <c r="S45" s="12" t="str">
        <f aca="false">IFERROR(INDEX($D$49:$J$513,($O$7-1)*39+22,5)&amp;"","")</f>
        <v/>
      </c>
      <c r="T45" s="12" t="str">
        <f aca="false">IFERROR(INDEX($D$49:$J$513,($O$7-1)*39+22,6)&amp;"","")</f>
        <v/>
      </c>
      <c r="U45" s="12" t="str">
        <f aca="false">IFERROR(INDEX($D$49:$J$513,($O$7-1)*39+22,7)&amp;"","")</f>
        <v/>
      </c>
    </row>
    <row r="46" customFormat="false" ht="15" hidden="false" customHeight="false" outlineLevel="0" collapsed="false">
      <c r="N46" s="10" t="s">
        <v>119</v>
      </c>
      <c r="O46" s="12" t="str">
        <f aca="false">IFERROR(INDEX($D$49:$J$513,($O$7-1)*39+23,1)&amp;"","")</f>
        <v>x</v>
      </c>
      <c r="P46" s="12" t="str">
        <f aca="false">IFERROR(INDEX($D$49:$J$513,($O$7-1)*39+23,2)&amp;"","")</f>
        <v/>
      </c>
      <c r="Q46" s="12" t="str">
        <f aca="false">IFERROR(INDEX($D$49:$J$513,($O$7-1)*39+23,3)&amp;"","")</f>
        <v/>
      </c>
      <c r="R46" s="12" t="str">
        <f aca="false">IFERROR(INDEX($D$49:$J$513,($O$7-1)*39+23,4)&amp;"","")</f>
        <v/>
      </c>
      <c r="S46" s="12" t="str">
        <f aca="false">IFERROR(INDEX($D$49:$J$513,($O$7-1)*39+23,5)&amp;"","")</f>
        <v>x</v>
      </c>
      <c r="T46" s="12" t="str">
        <f aca="false">IFERROR(INDEX($D$49:$J$513,($O$7-1)*39+23,6)&amp;"","")</f>
        <v/>
      </c>
      <c r="U46" s="12" t="str">
        <f aca="false">IFERROR(INDEX($D$49:$J$513,($O$7-1)*39+23,7)&amp;"","")</f>
        <v/>
      </c>
    </row>
    <row r="47" customFormat="false" ht="19.5" hidden="false" customHeight="true" outlineLevel="0" collapsed="false">
      <c r="B47" s="41" t="str">
        <f aca="false">"TABLEAU 1/12  -  PROGRAMME DE AVRIL 2027"&amp;IF($C$4="avril 2027","          &lt;&lt;&lt; MOIS ACTUELLEMENT FILTRE","")</f>
        <v>TABLEAU 1/12  -  PROGRAMME DE AVRIL 2027          &lt;&lt;&lt; MOIS ACTUELLEMENT FILTRE</v>
      </c>
      <c r="C47" s="41"/>
      <c r="D47" s="41"/>
      <c r="E47" s="41"/>
      <c r="F47" s="41"/>
      <c r="G47" s="41"/>
      <c r="H47" s="41"/>
      <c r="I47" s="41"/>
      <c r="J47" s="41"/>
      <c r="K47" s="46" t="s">
        <v>120</v>
      </c>
      <c r="N47" s="10" t="s">
        <v>121</v>
      </c>
      <c r="O47" s="12" t="str">
        <f aca="false">IFERROR(INDEX($D$49:$J$513,($O$7-1)*39+24,1)&amp;"","")</f>
        <v/>
      </c>
      <c r="P47" s="12" t="str">
        <f aca="false">IFERROR(INDEX($D$49:$J$513,($O$7-1)*39+24,2)&amp;"","")</f>
        <v/>
      </c>
      <c r="Q47" s="12" t="str">
        <f aca="false">IFERROR(INDEX($D$49:$J$513,($O$7-1)*39+24,3)&amp;"","")</f>
        <v/>
      </c>
      <c r="R47" s="12" t="str">
        <f aca="false">IFERROR(INDEX($D$49:$J$513,($O$7-1)*39+24,4)&amp;"","")</f>
        <v/>
      </c>
      <c r="S47" s="12" t="str">
        <f aca="false">IFERROR(INDEX($D$49:$J$513,($O$7-1)*39+24,5)&amp;"","")</f>
        <v/>
      </c>
      <c r="T47" s="12" t="str">
        <f aca="false">IFERROR(INDEX($D$49:$J$513,($O$7-1)*39+24,6)&amp;"","")</f>
        <v/>
      </c>
      <c r="U47" s="12" t="str">
        <f aca="false">IFERROR(INDEX($D$49:$J$513,($O$7-1)*39+24,7)&amp;"","")</f>
        <v/>
      </c>
    </row>
    <row r="48" customFormat="false" ht="25.5" hidden="false" customHeight="true" outlineLevel="0" collapsed="false">
      <c r="B48" s="47" t="s">
        <v>82</v>
      </c>
      <c r="C48" s="47" t="s">
        <v>122</v>
      </c>
      <c r="D48" s="47" t="s">
        <v>26</v>
      </c>
      <c r="E48" s="47" t="s">
        <v>27</v>
      </c>
      <c r="F48" s="47" t="s">
        <v>28</v>
      </c>
      <c r="G48" s="47" t="s">
        <v>29</v>
      </c>
      <c r="H48" s="47" t="s">
        <v>30</v>
      </c>
      <c r="I48" s="47" t="s">
        <v>31</v>
      </c>
      <c r="J48" s="47" t="s">
        <v>32</v>
      </c>
      <c r="K48" s="47" t="s">
        <v>123</v>
      </c>
      <c r="L48" s="47" t="s">
        <v>124</v>
      </c>
      <c r="N48" s="10" t="s">
        <v>125</v>
      </c>
      <c r="O48" s="12" t="str">
        <f aca="false">IFERROR(INDEX($D$49:$J$513,($O$7-1)*39+25,1)&amp;"","")</f>
        <v/>
      </c>
      <c r="P48" s="12" t="str">
        <f aca="false">IFERROR(INDEX($D$49:$J$513,($O$7-1)*39+25,2)&amp;"","")</f>
        <v/>
      </c>
      <c r="Q48" s="12" t="str">
        <f aca="false">IFERROR(INDEX($D$49:$J$513,($O$7-1)*39+25,3)&amp;"","")</f>
        <v/>
      </c>
      <c r="R48" s="12" t="str">
        <f aca="false">IFERROR(INDEX($D$49:$J$513,($O$7-1)*39+25,4)&amp;"","")</f>
        <v/>
      </c>
      <c r="S48" s="12" t="str">
        <f aca="false">IFERROR(INDEX($D$49:$J$513,($O$7-1)*39+25,5)&amp;"","")</f>
        <v/>
      </c>
      <c r="T48" s="12" t="str">
        <f aca="false">IFERROR(INDEX($D$49:$J$513,($O$7-1)*39+25,6)&amp;"","")</f>
        <v/>
      </c>
      <c r="U48" s="12" t="str">
        <f aca="false">IFERROR(INDEX($D$49:$J$513,($O$7-1)*39+25,7)&amp;"","")</f>
        <v/>
      </c>
    </row>
    <row r="49" customFormat="false" ht="15" hidden="false" customHeight="false" outlineLevel="0" collapsed="false">
      <c r="B49" s="48" t="s">
        <v>12</v>
      </c>
      <c r="C49" s="49" t="s">
        <v>11</v>
      </c>
      <c r="D49" s="50" t="s">
        <v>126</v>
      </c>
      <c r="E49" s="50" t="s">
        <v>126</v>
      </c>
      <c r="F49" s="50" t="s">
        <v>126</v>
      </c>
      <c r="G49" s="50" t="s">
        <v>126</v>
      </c>
      <c r="H49" s="50" t="s">
        <v>126</v>
      </c>
      <c r="I49" s="50" t="s">
        <v>126</v>
      </c>
      <c r="J49" s="50" t="s">
        <v>126</v>
      </c>
      <c r="K49" s="35" t="n">
        <f aca="false">COUNTA(D49:J49)</f>
        <v>7</v>
      </c>
      <c r="L49" s="34" t="n">
        <f aca="false">SUM(K49:K51)</f>
        <v>10</v>
      </c>
      <c r="N49" s="10" t="s">
        <v>127</v>
      </c>
      <c r="O49" s="12" t="str">
        <f aca="false">IFERROR(INDEX($D$49:$J$513,($O$7-1)*39+26,1)&amp;"","")</f>
        <v/>
      </c>
      <c r="P49" s="12" t="str">
        <f aca="false">IFERROR(INDEX($D$49:$J$513,($O$7-1)*39+26,2)&amp;"","")</f>
        <v/>
      </c>
      <c r="Q49" s="12" t="str">
        <f aca="false">IFERROR(INDEX($D$49:$J$513,($O$7-1)*39+26,3)&amp;"","")</f>
        <v/>
      </c>
      <c r="R49" s="12" t="str">
        <f aca="false">IFERROR(INDEX($D$49:$J$513,($O$7-1)*39+26,4)&amp;"","")</f>
        <v>x</v>
      </c>
      <c r="S49" s="12" t="str">
        <f aca="false">IFERROR(INDEX($D$49:$J$513,($O$7-1)*39+26,5)&amp;"","")</f>
        <v/>
      </c>
      <c r="T49" s="12" t="str">
        <f aca="false">IFERROR(INDEX($D$49:$J$513,($O$7-1)*39+26,6)&amp;"","")</f>
        <v/>
      </c>
      <c r="U49" s="12" t="str">
        <f aca="false">IFERROR(INDEX($D$49:$J$513,($O$7-1)*39+26,7)&amp;"","")</f>
        <v/>
      </c>
    </row>
    <row r="50" customFormat="false" ht="15" hidden="false" customHeight="false" outlineLevel="0" collapsed="false">
      <c r="B50" s="48"/>
      <c r="C50" s="49" t="s">
        <v>18</v>
      </c>
      <c r="D50" s="50" t="s">
        <v>126</v>
      </c>
      <c r="E50" s="50"/>
      <c r="F50" s="50"/>
      <c r="G50" s="50"/>
      <c r="H50" s="50" t="s">
        <v>126</v>
      </c>
      <c r="I50" s="50"/>
      <c r="J50" s="50"/>
      <c r="K50" s="35" t="n">
        <f aca="false">COUNTA(D50:J50)</f>
        <v>2</v>
      </c>
      <c r="L50" s="34"/>
      <c r="N50" s="10" t="s">
        <v>128</v>
      </c>
      <c r="O50" s="12" t="str">
        <f aca="false">IFERROR(INDEX($D$49:$J$513,($O$7-1)*39+27,1)&amp;"","")</f>
        <v/>
      </c>
      <c r="P50" s="12" t="str">
        <f aca="false">IFERROR(INDEX($D$49:$J$513,($O$7-1)*39+27,2)&amp;"","")</f>
        <v/>
      </c>
      <c r="Q50" s="12" t="str">
        <f aca="false">IFERROR(INDEX($D$49:$J$513,($O$7-1)*39+27,3)&amp;"","")</f>
        <v/>
      </c>
      <c r="R50" s="12" t="str">
        <f aca="false">IFERROR(INDEX($D$49:$J$513,($O$7-1)*39+27,4)&amp;"","")</f>
        <v/>
      </c>
      <c r="S50" s="12" t="str">
        <f aca="false">IFERROR(INDEX($D$49:$J$513,($O$7-1)*39+27,5)&amp;"","")</f>
        <v/>
      </c>
      <c r="T50" s="12" t="str">
        <f aca="false">IFERROR(INDEX($D$49:$J$513,($O$7-1)*39+27,6)&amp;"","")</f>
        <v/>
      </c>
      <c r="U50" s="12" t="str">
        <f aca="false">IFERROR(INDEX($D$49:$J$513,($O$7-1)*39+27,7)&amp;"","")</f>
        <v/>
      </c>
    </row>
    <row r="51" customFormat="false" ht="15" hidden="false" customHeight="false" outlineLevel="0" collapsed="false">
      <c r="B51" s="48"/>
      <c r="C51" s="49" t="s">
        <v>23</v>
      </c>
      <c r="D51" s="50" t="s">
        <v>126</v>
      </c>
      <c r="E51" s="50"/>
      <c r="F51" s="50"/>
      <c r="G51" s="50"/>
      <c r="H51" s="50"/>
      <c r="I51" s="50"/>
      <c r="J51" s="50"/>
      <c r="K51" s="35" t="n">
        <f aca="false">COUNTA(D51:J51)</f>
        <v>1</v>
      </c>
      <c r="L51" s="34"/>
      <c r="N51" s="10" t="s">
        <v>129</v>
      </c>
      <c r="O51" s="12" t="str">
        <f aca="false">IFERROR(INDEX($D$49:$J$513,($O$7-1)*39+28,1)&amp;"","")</f>
        <v/>
      </c>
      <c r="P51" s="12" t="str">
        <f aca="false">IFERROR(INDEX($D$49:$J$513,($O$7-1)*39+28,2)&amp;"","")</f>
        <v/>
      </c>
      <c r="Q51" s="12" t="str">
        <f aca="false">IFERROR(INDEX($D$49:$J$513,($O$7-1)*39+28,3)&amp;"","")</f>
        <v/>
      </c>
      <c r="R51" s="12" t="str">
        <f aca="false">IFERROR(INDEX($D$49:$J$513,($O$7-1)*39+28,4)&amp;"","")</f>
        <v/>
      </c>
      <c r="S51" s="12" t="str">
        <f aca="false">IFERROR(INDEX($D$49:$J$513,($O$7-1)*39+28,5)&amp;"","")</f>
        <v/>
      </c>
      <c r="T51" s="12" t="str">
        <f aca="false">IFERROR(INDEX($D$49:$J$513,($O$7-1)*39+28,6)&amp;"","")</f>
        <v/>
      </c>
      <c r="U51" s="12" t="str">
        <f aca="false">IFERROR(INDEX($D$49:$J$513,($O$7-1)*39+28,7)&amp;"","")</f>
        <v/>
      </c>
    </row>
    <row r="52" customFormat="false" ht="15" hidden="false" customHeight="false" outlineLevel="0" collapsed="false">
      <c r="B52" s="48" t="s">
        <v>19</v>
      </c>
      <c r="C52" s="49" t="s">
        <v>11</v>
      </c>
      <c r="D52" s="50"/>
      <c r="E52" s="50"/>
      <c r="F52" s="50"/>
      <c r="G52" s="50"/>
      <c r="H52" s="50"/>
      <c r="I52" s="50"/>
      <c r="J52" s="50" t="s">
        <v>126</v>
      </c>
      <c r="K52" s="35" t="n">
        <f aca="false">COUNTA(D52:J52)</f>
        <v>1</v>
      </c>
      <c r="L52" s="34" t="n">
        <f aca="false">SUM(K52:K54)</f>
        <v>3</v>
      </c>
      <c r="N52" s="10" t="s">
        <v>130</v>
      </c>
      <c r="O52" s="12" t="str">
        <f aca="false">IFERROR(INDEX($D$49:$J$513,($O$7-1)*39+29,1)&amp;"","")</f>
        <v/>
      </c>
      <c r="P52" s="12" t="str">
        <f aca="false">IFERROR(INDEX($D$49:$J$513,($O$7-1)*39+29,2)&amp;"","")</f>
        <v/>
      </c>
      <c r="Q52" s="12" t="str">
        <f aca="false">IFERROR(INDEX($D$49:$J$513,($O$7-1)*39+29,3)&amp;"","")</f>
        <v/>
      </c>
      <c r="R52" s="12" t="str">
        <f aca="false">IFERROR(INDEX($D$49:$J$513,($O$7-1)*39+29,4)&amp;"","")</f>
        <v/>
      </c>
      <c r="S52" s="12" t="str">
        <f aca="false">IFERROR(INDEX($D$49:$J$513,($O$7-1)*39+29,5)&amp;"","")</f>
        <v/>
      </c>
      <c r="T52" s="12" t="str">
        <f aca="false">IFERROR(INDEX($D$49:$J$513,($O$7-1)*39+29,6)&amp;"","")</f>
        <v/>
      </c>
      <c r="U52" s="12" t="str">
        <f aca="false">IFERROR(INDEX($D$49:$J$513,($O$7-1)*39+29,7)&amp;"","")</f>
        <v/>
      </c>
    </row>
    <row r="53" customFormat="false" ht="15" hidden="false" customHeight="false" outlineLevel="0" collapsed="false">
      <c r="B53" s="48"/>
      <c r="C53" s="49" t="s">
        <v>18</v>
      </c>
      <c r="D53" s="50"/>
      <c r="E53" s="50" t="s">
        <v>126</v>
      </c>
      <c r="F53" s="50"/>
      <c r="G53" s="50"/>
      <c r="H53" s="50" t="s">
        <v>126</v>
      </c>
      <c r="I53" s="50"/>
      <c r="J53" s="50"/>
      <c r="K53" s="35" t="n">
        <f aca="false">COUNTA(D53:J53)</f>
        <v>2</v>
      </c>
      <c r="L53" s="34"/>
      <c r="N53" s="10" t="s">
        <v>131</v>
      </c>
      <c r="O53" s="12" t="str">
        <f aca="false">IFERROR(INDEX($D$49:$J$513,($O$7-1)*39+30,1)&amp;"","")</f>
        <v/>
      </c>
      <c r="P53" s="12" t="str">
        <f aca="false">IFERROR(INDEX($D$49:$J$513,($O$7-1)*39+30,2)&amp;"","")</f>
        <v>x</v>
      </c>
      <c r="Q53" s="12" t="str">
        <f aca="false">IFERROR(INDEX($D$49:$J$513,($O$7-1)*39+30,3)&amp;"","")</f>
        <v/>
      </c>
      <c r="R53" s="12" t="str">
        <f aca="false">IFERROR(INDEX($D$49:$J$513,($O$7-1)*39+30,4)&amp;"","")</f>
        <v/>
      </c>
      <c r="S53" s="12" t="str">
        <f aca="false">IFERROR(INDEX($D$49:$J$513,($O$7-1)*39+30,5)&amp;"","")</f>
        <v/>
      </c>
      <c r="T53" s="12" t="str">
        <f aca="false">IFERROR(INDEX($D$49:$J$513,($O$7-1)*39+30,6)&amp;"","")</f>
        <v>x</v>
      </c>
      <c r="U53" s="12" t="str">
        <f aca="false">IFERROR(INDEX($D$49:$J$513,($O$7-1)*39+30,7)&amp;"","")</f>
        <v/>
      </c>
    </row>
    <row r="54" customFormat="false" ht="15" hidden="false" customHeight="false" outlineLevel="0" collapsed="false">
      <c r="B54" s="48"/>
      <c r="C54" s="49" t="s">
        <v>23</v>
      </c>
      <c r="D54" s="50"/>
      <c r="E54" s="50"/>
      <c r="F54" s="50"/>
      <c r="G54" s="50"/>
      <c r="H54" s="50"/>
      <c r="I54" s="50"/>
      <c r="J54" s="50"/>
      <c r="K54" s="35" t="n">
        <f aca="false">COUNTA(D54:J54)</f>
        <v>0</v>
      </c>
      <c r="L54" s="34"/>
      <c r="N54" s="10" t="s">
        <v>132</v>
      </c>
      <c r="O54" s="12" t="str">
        <f aca="false">IFERROR(INDEX($D$49:$J$513,($O$7-1)*39+31,1)&amp;"","")</f>
        <v/>
      </c>
      <c r="P54" s="12" t="str">
        <f aca="false">IFERROR(INDEX($D$49:$J$513,($O$7-1)*39+31,2)&amp;"","")</f>
        <v/>
      </c>
      <c r="Q54" s="12" t="str">
        <f aca="false">IFERROR(INDEX($D$49:$J$513,($O$7-1)*39+31,3)&amp;"","")</f>
        <v/>
      </c>
      <c r="R54" s="12" t="str">
        <f aca="false">IFERROR(INDEX($D$49:$J$513,($O$7-1)*39+31,4)&amp;"","")</f>
        <v/>
      </c>
      <c r="S54" s="12" t="str">
        <f aca="false">IFERROR(INDEX($D$49:$J$513,($O$7-1)*39+31,5)&amp;"","")</f>
        <v/>
      </c>
      <c r="T54" s="12" t="str">
        <f aca="false">IFERROR(INDEX($D$49:$J$513,($O$7-1)*39+31,6)&amp;"","")</f>
        <v/>
      </c>
      <c r="U54" s="12" t="str">
        <f aca="false">IFERROR(INDEX($D$49:$J$513,($O$7-1)*39+31,7)&amp;"","")</f>
        <v/>
      </c>
    </row>
    <row r="55" customFormat="false" ht="15" hidden="false" customHeight="false" outlineLevel="0" collapsed="false">
      <c r="B55" s="48" t="s">
        <v>24</v>
      </c>
      <c r="C55" s="49" t="s">
        <v>11</v>
      </c>
      <c r="D55" s="50"/>
      <c r="E55" s="50"/>
      <c r="F55" s="50"/>
      <c r="G55" s="50"/>
      <c r="H55" s="50"/>
      <c r="I55" s="50"/>
      <c r="J55" s="50"/>
      <c r="K55" s="35" t="n">
        <f aca="false">COUNTA(D55:J55)</f>
        <v>0</v>
      </c>
      <c r="L55" s="34" t="n">
        <f aca="false">SUM(K55:K57)</f>
        <v>2</v>
      </c>
      <c r="N55" s="10" t="s">
        <v>133</v>
      </c>
      <c r="O55" s="12" t="str">
        <f aca="false">IFERROR(INDEX($D$49:$J$513,($O$7-1)*39+32,1)&amp;"","")</f>
        <v/>
      </c>
      <c r="P55" s="12" t="str">
        <f aca="false">IFERROR(INDEX($D$49:$J$513,($O$7-1)*39+32,2)&amp;"","")</f>
        <v/>
      </c>
      <c r="Q55" s="12" t="str">
        <f aca="false">IFERROR(INDEX($D$49:$J$513,($O$7-1)*39+32,3)&amp;"","")</f>
        <v/>
      </c>
      <c r="R55" s="12" t="str">
        <f aca="false">IFERROR(INDEX($D$49:$J$513,($O$7-1)*39+32,4)&amp;"","")</f>
        <v/>
      </c>
      <c r="S55" s="12" t="str">
        <f aca="false">IFERROR(INDEX($D$49:$J$513,($O$7-1)*39+32,5)&amp;"","")</f>
        <v/>
      </c>
      <c r="T55" s="12" t="str">
        <f aca="false">IFERROR(INDEX($D$49:$J$513,($O$7-1)*39+32,6)&amp;"","")</f>
        <v/>
      </c>
      <c r="U55" s="12" t="str">
        <f aca="false">IFERROR(INDEX($D$49:$J$513,($O$7-1)*39+32,7)&amp;"","")</f>
        <v/>
      </c>
    </row>
    <row r="56" customFormat="false" ht="15" hidden="false" customHeight="false" outlineLevel="0" collapsed="false">
      <c r="B56" s="48"/>
      <c r="C56" s="49" t="s">
        <v>18</v>
      </c>
      <c r="D56" s="50"/>
      <c r="E56" s="50"/>
      <c r="F56" s="50" t="s">
        <v>126</v>
      </c>
      <c r="G56" s="50"/>
      <c r="H56" s="50"/>
      <c r="I56" s="50" t="s">
        <v>126</v>
      </c>
      <c r="J56" s="50"/>
      <c r="K56" s="35" t="n">
        <f aca="false">COUNTA(D56:J56)</f>
        <v>2</v>
      </c>
      <c r="L56" s="34"/>
      <c r="N56" s="10" t="s">
        <v>134</v>
      </c>
      <c r="O56" s="12" t="str">
        <f aca="false">IFERROR(INDEX($D$49:$J$513,($O$7-1)*39+33,1)&amp;"","")</f>
        <v>x</v>
      </c>
      <c r="P56" s="12" t="str">
        <f aca="false">IFERROR(INDEX($D$49:$J$513,($O$7-1)*39+33,2)&amp;"","")</f>
        <v>x</v>
      </c>
      <c r="Q56" s="12" t="str">
        <f aca="false">IFERROR(INDEX($D$49:$J$513,($O$7-1)*39+33,3)&amp;"","")</f>
        <v>x</v>
      </c>
      <c r="R56" s="12" t="str">
        <f aca="false">IFERROR(INDEX($D$49:$J$513,($O$7-1)*39+33,4)&amp;"","")</f>
        <v>x</v>
      </c>
      <c r="S56" s="12" t="str">
        <f aca="false">IFERROR(INDEX($D$49:$J$513,($O$7-1)*39+33,5)&amp;"","")</f>
        <v>x</v>
      </c>
      <c r="T56" s="12" t="str">
        <f aca="false">IFERROR(INDEX($D$49:$J$513,($O$7-1)*39+33,6)&amp;"","")</f>
        <v>x</v>
      </c>
      <c r="U56" s="12" t="str">
        <f aca="false">IFERROR(INDEX($D$49:$J$513,($O$7-1)*39+33,7)&amp;"","")</f>
        <v/>
      </c>
    </row>
    <row r="57" customFormat="false" ht="15" hidden="false" customHeight="false" outlineLevel="0" collapsed="false">
      <c r="B57" s="48"/>
      <c r="C57" s="49" t="s">
        <v>23</v>
      </c>
      <c r="D57" s="50"/>
      <c r="E57" s="50"/>
      <c r="F57" s="50"/>
      <c r="G57" s="50"/>
      <c r="H57" s="50"/>
      <c r="I57" s="50"/>
      <c r="J57" s="50"/>
      <c r="K57" s="35" t="n">
        <f aca="false">COUNTA(D57:J57)</f>
        <v>0</v>
      </c>
      <c r="L57" s="34"/>
      <c r="N57" s="10" t="s">
        <v>135</v>
      </c>
      <c r="O57" s="12" t="str">
        <f aca="false">IFERROR(INDEX($D$49:$J$513,($O$7-1)*39+34,1)&amp;"","")</f>
        <v/>
      </c>
      <c r="P57" s="12" t="str">
        <f aca="false">IFERROR(INDEX($D$49:$J$513,($O$7-1)*39+34,2)&amp;"","")</f>
        <v/>
      </c>
      <c r="Q57" s="12" t="str">
        <f aca="false">IFERROR(INDEX($D$49:$J$513,($O$7-1)*39+34,3)&amp;"","")</f>
        <v/>
      </c>
      <c r="R57" s="12" t="str">
        <f aca="false">IFERROR(INDEX($D$49:$J$513,($O$7-1)*39+34,4)&amp;"","")</f>
        <v/>
      </c>
      <c r="S57" s="12" t="str">
        <f aca="false">IFERROR(INDEX($D$49:$J$513,($O$7-1)*39+34,5)&amp;"","")</f>
        <v/>
      </c>
      <c r="T57" s="12" t="str">
        <f aca="false">IFERROR(INDEX($D$49:$J$513,($O$7-1)*39+34,6)&amp;"","")</f>
        <v/>
      </c>
      <c r="U57" s="12" t="str">
        <f aca="false">IFERROR(INDEX($D$49:$J$513,($O$7-1)*39+34,7)&amp;"","")</f>
        <v/>
      </c>
    </row>
    <row r="58" customFormat="false" ht="15" hidden="false" customHeight="false" outlineLevel="0" collapsed="false">
      <c r="B58" s="48" t="s">
        <v>35</v>
      </c>
      <c r="C58" s="49" t="s">
        <v>11</v>
      </c>
      <c r="D58" s="50"/>
      <c r="E58" s="50"/>
      <c r="F58" s="50"/>
      <c r="G58" s="50"/>
      <c r="H58" s="50"/>
      <c r="I58" s="50"/>
      <c r="J58" s="50"/>
      <c r="K58" s="35" t="n">
        <f aca="false">COUNTA(D58:J58)</f>
        <v>0</v>
      </c>
      <c r="L58" s="34" t="n">
        <f aca="false">SUM(K58:K60)</f>
        <v>6</v>
      </c>
      <c r="N58" s="10" t="s">
        <v>136</v>
      </c>
      <c r="O58" s="12" t="str">
        <f aca="false">IFERROR(INDEX($D$49:$J$513,($O$7-1)*39+35,1)&amp;"","")</f>
        <v/>
      </c>
      <c r="P58" s="12" t="str">
        <f aca="false">IFERROR(INDEX($D$49:$J$513,($O$7-1)*39+35,2)&amp;"","")</f>
        <v/>
      </c>
      <c r="Q58" s="12" t="str">
        <f aca="false">IFERROR(INDEX($D$49:$J$513,($O$7-1)*39+35,3)&amp;"","")</f>
        <v/>
      </c>
      <c r="R58" s="12" t="str">
        <f aca="false">IFERROR(INDEX($D$49:$J$513,($O$7-1)*39+35,4)&amp;"","")</f>
        <v/>
      </c>
      <c r="S58" s="12" t="str">
        <f aca="false">IFERROR(INDEX($D$49:$J$513,($O$7-1)*39+35,5)&amp;"","")</f>
        <v/>
      </c>
      <c r="T58" s="12" t="str">
        <f aca="false">IFERROR(INDEX($D$49:$J$513,($O$7-1)*39+35,6)&amp;"","")</f>
        <v/>
      </c>
      <c r="U58" s="12" t="str">
        <f aca="false">IFERROR(INDEX($D$49:$J$513,($O$7-1)*39+35,7)&amp;"","")</f>
        <v/>
      </c>
    </row>
    <row r="59" customFormat="false" ht="15" hidden="false" customHeight="false" outlineLevel="0" collapsed="false">
      <c r="B59" s="48"/>
      <c r="C59" s="49" t="s">
        <v>18</v>
      </c>
      <c r="D59" s="50"/>
      <c r="E59" s="50"/>
      <c r="F59" s="50" t="s">
        <v>126</v>
      </c>
      <c r="G59" s="50"/>
      <c r="H59" s="50"/>
      <c r="I59" s="50"/>
      <c r="J59" s="50"/>
      <c r="K59" s="35" t="n">
        <f aca="false">COUNTA(D59:J59)</f>
        <v>1</v>
      </c>
      <c r="L59" s="34"/>
      <c r="N59" s="10" t="s">
        <v>137</v>
      </c>
      <c r="O59" s="12" t="str">
        <f aca="false">IFERROR(INDEX($D$49:$J$513,($O$7-1)*39+36,1)&amp;"","")</f>
        <v/>
      </c>
      <c r="P59" s="12" t="str">
        <f aca="false">IFERROR(INDEX($D$49:$J$513,($O$7-1)*39+36,2)&amp;"","")</f>
        <v/>
      </c>
      <c r="Q59" s="12" t="str">
        <f aca="false">IFERROR(INDEX($D$49:$J$513,($O$7-1)*39+36,3)&amp;"","")</f>
        <v>x</v>
      </c>
      <c r="R59" s="12" t="str">
        <f aca="false">IFERROR(INDEX($D$49:$J$513,($O$7-1)*39+36,4)&amp;"","")</f>
        <v/>
      </c>
      <c r="S59" s="12" t="str">
        <f aca="false">IFERROR(INDEX($D$49:$J$513,($O$7-1)*39+36,5)&amp;"","")</f>
        <v/>
      </c>
      <c r="T59" s="12" t="str">
        <f aca="false">IFERROR(INDEX($D$49:$J$513,($O$7-1)*39+36,6)&amp;"","")</f>
        <v/>
      </c>
      <c r="U59" s="12" t="str">
        <f aca="false">IFERROR(INDEX($D$49:$J$513,($O$7-1)*39+36,7)&amp;"","")</f>
        <v>x</v>
      </c>
    </row>
    <row r="60" customFormat="false" ht="15" hidden="false" customHeight="false" outlineLevel="0" collapsed="false">
      <c r="B60" s="48"/>
      <c r="C60" s="49" t="s">
        <v>23</v>
      </c>
      <c r="D60" s="50" t="s">
        <v>126</v>
      </c>
      <c r="E60" s="50" t="s">
        <v>126</v>
      </c>
      <c r="F60" s="50" t="s">
        <v>126</v>
      </c>
      <c r="G60" s="50" t="s">
        <v>126</v>
      </c>
      <c r="H60" s="50" t="s">
        <v>126</v>
      </c>
      <c r="I60" s="50"/>
      <c r="J60" s="50"/>
      <c r="K60" s="35" t="n">
        <f aca="false">COUNTA(D60:J60)</f>
        <v>5</v>
      </c>
      <c r="L60" s="34"/>
    </row>
    <row r="61" customFormat="false" ht="15" hidden="false" customHeight="false" outlineLevel="0" collapsed="false">
      <c r="B61" s="48" t="s">
        <v>39</v>
      </c>
      <c r="C61" s="49" t="s">
        <v>11</v>
      </c>
      <c r="D61" s="50"/>
      <c r="E61" s="50"/>
      <c r="F61" s="50"/>
      <c r="G61" s="50"/>
      <c r="H61" s="50"/>
      <c r="I61" s="50"/>
      <c r="J61" s="50"/>
      <c r="K61" s="35" t="n">
        <f aca="false">COUNTA(D61:J61)</f>
        <v>0</v>
      </c>
      <c r="L61" s="34" t="n">
        <f aca="false">SUM(K61:K63)</f>
        <v>4</v>
      </c>
    </row>
    <row r="62" customFormat="false" ht="15" hidden="false" customHeight="false" outlineLevel="0" collapsed="false">
      <c r="B62" s="48"/>
      <c r="C62" s="49" t="s">
        <v>18</v>
      </c>
      <c r="D62" s="50"/>
      <c r="E62" s="50"/>
      <c r="F62" s="50"/>
      <c r="G62" s="50"/>
      <c r="H62" s="50"/>
      <c r="I62" s="50"/>
      <c r="J62" s="50"/>
      <c r="K62" s="35" t="n">
        <f aca="false">COUNTA(D62:J62)</f>
        <v>0</v>
      </c>
      <c r="L62" s="34"/>
    </row>
    <row r="63" customFormat="false" ht="15" hidden="false" customHeight="false" outlineLevel="0" collapsed="false">
      <c r="B63" s="48"/>
      <c r="C63" s="49" t="s">
        <v>23</v>
      </c>
      <c r="D63" s="50" t="s">
        <v>126</v>
      </c>
      <c r="E63" s="50"/>
      <c r="F63" s="50" t="s">
        <v>126</v>
      </c>
      <c r="G63" s="50"/>
      <c r="H63" s="50" t="s">
        <v>126</v>
      </c>
      <c r="I63" s="50"/>
      <c r="J63" s="50" t="s">
        <v>126</v>
      </c>
      <c r="K63" s="35" t="n">
        <f aca="false">COUNTA(D63:J63)</f>
        <v>4</v>
      </c>
      <c r="L63" s="34"/>
    </row>
    <row r="64" customFormat="false" ht="15" hidden="false" customHeight="false" outlineLevel="0" collapsed="false">
      <c r="B64" s="48" t="s">
        <v>14</v>
      </c>
      <c r="C64" s="49" t="s">
        <v>11</v>
      </c>
      <c r="D64" s="50"/>
      <c r="E64" s="50"/>
      <c r="F64" s="50"/>
      <c r="G64" s="50"/>
      <c r="H64" s="50"/>
      <c r="I64" s="50"/>
      <c r="J64" s="50"/>
      <c r="K64" s="35" t="n">
        <f aca="false">COUNTA(D64:J64)</f>
        <v>0</v>
      </c>
      <c r="L64" s="34" t="n">
        <f aca="false">SUM(K64:K66)</f>
        <v>3</v>
      </c>
    </row>
    <row r="65" customFormat="false" ht="15" hidden="false" customHeight="false" outlineLevel="0" collapsed="false">
      <c r="B65" s="48"/>
      <c r="C65" s="49" t="s">
        <v>18</v>
      </c>
      <c r="D65" s="50"/>
      <c r="E65" s="50"/>
      <c r="F65" s="50"/>
      <c r="G65" s="50"/>
      <c r="H65" s="50"/>
      <c r="I65" s="50"/>
      <c r="J65" s="50"/>
      <c r="K65" s="35" t="n">
        <f aca="false">COUNTA(D65:J65)</f>
        <v>0</v>
      </c>
      <c r="L65" s="34"/>
    </row>
    <row r="66" customFormat="false" ht="15" hidden="false" customHeight="false" outlineLevel="0" collapsed="false">
      <c r="B66" s="48"/>
      <c r="C66" s="49" t="s">
        <v>23</v>
      </c>
      <c r="D66" s="50" t="s">
        <v>126</v>
      </c>
      <c r="E66" s="50"/>
      <c r="F66" s="50"/>
      <c r="G66" s="50" t="s">
        <v>126</v>
      </c>
      <c r="H66" s="50"/>
      <c r="I66" s="50" t="s">
        <v>126</v>
      </c>
      <c r="J66" s="50"/>
      <c r="K66" s="35" t="n">
        <f aca="false">COUNTA(D66:J66)</f>
        <v>3</v>
      </c>
      <c r="L66" s="34"/>
    </row>
    <row r="67" customFormat="false" ht="15" hidden="false" customHeight="false" outlineLevel="0" collapsed="false">
      <c r="B67" s="48" t="s">
        <v>45</v>
      </c>
      <c r="C67" s="49" t="s">
        <v>11</v>
      </c>
      <c r="D67" s="50"/>
      <c r="E67" s="50"/>
      <c r="F67" s="50"/>
      <c r="G67" s="50"/>
      <c r="H67" s="50"/>
      <c r="I67" s="50"/>
      <c r="J67" s="50"/>
      <c r="K67" s="35" t="n">
        <f aca="false">COUNTA(D67:J67)</f>
        <v>0</v>
      </c>
      <c r="L67" s="34" t="n">
        <f aca="false">SUM(K67:K69)</f>
        <v>3</v>
      </c>
    </row>
    <row r="68" customFormat="false" ht="15" hidden="false" customHeight="false" outlineLevel="0" collapsed="false">
      <c r="B68" s="48"/>
      <c r="C68" s="49" t="s">
        <v>18</v>
      </c>
      <c r="D68" s="50"/>
      <c r="E68" s="50"/>
      <c r="F68" s="50"/>
      <c r="G68" s="50"/>
      <c r="H68" s="50"/>
      <c r="I68" s="50"/>
      <c r="J68" s="50"/>
      <c r="K68" s="35" t="n">
        <f aca="false">COUNTA(D68:J68)</f>
        <v>0</v>
      </c>
      <c r="L68" s="34"/>
    </row>
    <row r="69" customFormat="false" ht="15" hidden="false" customHeight="false" outlineLevel="0" collapsed="false">
      <c r="B69" s="48"/>
      <c r="C69" s="49" t="s">
        <v>23</v>
      </c>
      <c r="D69" s="50"/>
      <c r="E69" s="50" t="s">
        <v>126</v>
      </c>
      <c r="F69" s="50"/>
      <c r="G69" s="50" t="s">
        <v>126</v>
      </c>
      <c r="H69" s="50"/>
      <c r="I69" s="50" t="s">
        <v>126</v>
      </c>
      <c r="J69" s="50"/>
      <c r="K69" s="35" t="n">
        <f aca="false">COUNTA(D69:J69)</f>
        <v>3</v>
      </c>
      <c r="L69" s="34"/>
    </row>
    <row r="70" customFormat="false" ht="15" hidden="false" customHeight="false" outlineLevel="0" collapsed="false">
      <c r="B70" s="48" t="s">
        <v>48</v>
      </c>
      <c r="C70" s="49" t="s">
        <v>11</v>
      </c>
      <c r="D70" s="50"/>
      <c r="E70" s="50"/>
      <c r="F70" s="50"/>
      <c r="G70" s="50"/>
      <c r="H70" s="50"/>
      <c r="I70" s="50"/>
      <c r="J70" s="50"/>
      <c r="K70" s="35" t="n">
        <f aca="false">COUNTA(D70:J70)</f>
        <v>0</v>
      </c>
      <c r="L70" s="34" t="n">
        <f aca="false">SUM(K70:K72)</f>
        <v>2</v>
      </c>
    </row>
    <row r="71" customFormat="false" ht="15" hidden="false" customHeight="false" outlineLevel="0" collapsed="false">
      <c r="B71" s="48"/>
      <c r="C71" s="49" t="s">
        <v>18</v>
      </c>
      <c r="D71" s="50" t="s">
        <v>126</v>
      </c>
      <c r="E71" s="50"/>
      <c r="F71" s="50"/>
      <c r="G71" s="50"/>
      <c r="H71" s="50" t="s">
        <v>126</v>
      </c>
      <c r="I71" s="50"/>
      <c r="J71" s="50"/>
      <c r="K71" s="35" t="n">
        <f aca="false">COUNTA(D71:J71)</f>
        <v>2</v>
      </c>
      <c r="L71" s="34"/>
    </row>
    <row r="72" customFormat="false" ht="15" hidden="false" customHeight="false" outlineLevel="0" collapsed="false">
      <c r="B72" s="48"/>
      <c r="C72" s="49" t="s">
        <v>23</v>
      </c>
      <c r="D72" s="50"/>
      <c r="E72" s="50"/>
      <c r="F72" s="50"/>
      <c r="G72" s="50"/>
      <c r="H72" s="50"/>
      <c r="I72" s="50"/>
      <c r="J72" s="50"/>
      <c r="K72" s="35" t="n">
        <f aca="false">COUNTA(D72:J72)</f>
        <v>0</v>
      </c>
      <c r="L72" s="34"/>
    </row>
    <row r="73" customFormat="false" ht="15" hidden="false" customHeight="false" outlineLevel="0" collapsed="false">
      <c r="B73" s="48" t="s">
        <v>52</v>
      </c>
      <c r="C73" s="49" t="s">
        <v>11</v>
      </c>
      <c r="D73" s="50"/>
      <c r="E73" s="50"/>
      <c r="F73" s="50"/>
      <c r="G73" s="50"/>
      <c r="H73" s="50"/>
      <c r="I73" s="50"/>
      <c r="J73" s="50"/>
      <c r="K73" s="35" t="n">
        <f aca="false">COUNTA(D73:J73)</f>
        <v>0</v>
      </c>
      <c r="L73" s="34" t="n">
        <f aca="false">SUM(K73:K75)</f>
        <v>1</v>
      </c>
    </row>
    <row r="74" customFormat="false" ht="15" hidden="false" customHeight="false" outlineLevel="0" collapsed="false">
      <c r="B74" s="48"/>
      <c r="C74" s="49" t="s">
        <v>18</v>
      </c>
      <c r="D74" s="50"/>
      <c r="E74" s="50"/>
      <c r="F74" s="50"/>
      <c r="G74" s="50" t="s">
        <v>126</v>
      </c>
      <c r="H74" s="50"/>
      <c r="I74" s="50"/>
      <c r="J74" s="50"/>
      <c r="K74" s="35" t="n">
        <f aca="false">COUNTA(D74:J74)</f>
        <v>1</v>
      </c>
      <c r="L74" s="34"/>
    </row>
    <row r="75" customFormat="false" ht="15" hidden="false" customHeight="false" outlineLevel="0" collapsed="false">
      <c r="B75" s="48"/>
      <c r="C75" s="49" t="s">
        <v>23</v>
      </c>
      <c r="D75" s="50"/>
      <c r="E75" s="50"/>
      <c r="F75" s="50"/>
      <c r="G75" s="50"/>
      <c r="H75" s="50"/>
      <c r="I75" s="50"/>
      <c r="J75" s="50"/>
      <c r="K75" s="35" t="n">
        <f aca="false">COUNTA(D75:J75)</f>
        <v>0</v>
      </c>
      <c r="L75" s="34"/>
    </row>
    <row r="76" customFormat="false" ht="15" hidden="false" customHeight="false" outlineLevel="0" collapsed="false">
      <c r="B76" s="48" t="s">
        <v>55</v>
      </c>
      <c r="C76" s="49" t="s">
        <v>11</v>
      </c>
      <c r="D76" s="50"/>
      <c r="E76" s="50"/>
      <c r="F76" s="50"/>
      <c r="G76" s="50"/>
      <c r="H76" s="50"/>
      <c r="I76" s="50"/>
      <c r="J76" s="50"/>
      <c r="K76" s="35" t="n">
        <f aca="false">COUNTA(D76:J76)</f>
        <v>0</v>
      </c>
      <c r="L76" s="34" t="n">
        <f aca="false">SUM(K76:K78)</f>
        <v>2</v>
      </c>
    </row>
    <row r="77" customFormat="false" ht="15" hidden="false" customHeight="false" outlineLevel="0" collapsed="false">
      <c r="B77" s="48"/>
      <c r="C77" s="49" t="s">
        <v>18</v>
      </c>
      <c r="D77" s="50"/>
      <c r="E77" s="50"/>
      <c r="F77" s="50"/>
      <c r="G77" s="50"/>
      <c r="H77" s="50"/>
      <c r="I77" s="50"/>
      <c r="J77" s="50"/>
      <c r="K77" s="35" t="n">
        <f aca="false">COUNTA(D77:J77)</f>
        <v>0</v>
      </c>
      <c r="L77" s="34"/>
    </row>
    <row r="78" customFormat="false" ht="15" hidden="false" customHeight="false" outlineLevel="0" collapsed="false">
      <c r="B78" s="48"/>
      <c r="C78" s="49" t="s">
        <v>23</v>
      </c>
      <c r="D78" s="50"/>
      <c r="E78" s="50" t="s">
        <v>126</v>
      </c>
      <c r="F78" s="50"/>
      <c r="G78" s="50"/>
      <c r="H78" s="50"/>
      <c r="I78" s="50" t="s">
        <v>126</v>
      </c>
      <c r="J78" s="50"/>
      <c r="K78" s="35" t="n">
        <f aca="false">COUNTA(D78:J78)</f>
        <v>2</v>
      </c>
      <c r="L78" s="34"/>
    </row>
    <row r="79" customFormat="false" ht="15" hidden="false" customHeight="false" outlineLevel="0" collapsed="false">
      <c r="B79" s="48" t="s">
        <v>58</v>
      </c>
      <c r="C79" s="49" t="s">
        <v>11</v>
      </c>
      <c r="D79" s="50"/>
      <c r="E79" s="50"/>
      <c r="F79" s="50"/>
      <c r="G79" s="50"/>
      <c r="H79" s="50"/>
      <c r="I79" s="50"/>
      <c r="J79" s="50"/>
      <c r="K79" s="35" t="n">
        <f aca="false">COUNTA(D79:J79)</f>
        <v>0</v>
      </c>
      <c r="L79" s="34" t="n">
        <f aca="false">SUM(K79:K81)</f>
        <v>6</v>
      </c>
    </row>
    <row r="80" customFormat="false" ht="15" hidden="false" customHeight="false" outlineLevel="0" collapsed="false">
      <c r="B80" s="48"/>
      <c r="C80" s="49" t="s">
        <v>18</v>
      </c>
      <c r="D80" s="50"/>
      <c r="E80" s="50"/>
      <c r="F80" s="50"/>
      <c r="G80" s="50"/>
      <c r="H80" s="50"/>
      <c r="I80" s="50"/>
      <c r="J80" s="50"/>
      <c r="K80" s="35" t="n">
        <f aca="false">COUNTA(D80:J80)</f>
        <v>0</v>
      </c>
      <c r="L80" s="34"/>
    </row>
    <row r="81" customFormat="false" ht="15" hidden="false" customHeight="false" outlineLevel="0" collapsed="false">
      <c r="B81" s="48"/>
      <c r="C81" s="49" t="s">
        <v>23</v>
      </c>
      <c r="D81" s="50" t="s">
        <v>126</v>
      </c>
      <c r="E81" s="50" t="s">
        <v>126</v>
      </c>
      <c r="F81" s="50" t="s">
        <v>126</v>
      </c>
      <c r="G81" s="50" t="s">
        <v>126</v>
      </c>
      <c r="H81" s="50" t="s">
        <v>126</v>
      </c>
      <c r="I81" s="50" t="s">
        <v>126</v>
      </c>
      <c r="J81" s="50"/>
      <c r="K81" s="35" t="n">
        <f aca="false">COUNTA(D81:J81)</f>
        <v>6</v>
      </c>
      <c r="L81" s="34"/>
    </row>
    <row r="82" customFormat="false" ht="15" hidden="false" customHeight="false" outlineLevel="0" collapsed="false">
      <c r="B82" s="48" t="s">
        <v>61</v>
      </c>
      <c r="C82" s="49" t="s">
        <v>11</v>
      </c>
      <c r="D82" s="50"/>
      <c r="E82" s="50"/>
      <c r="F82" s="50"/>
      <c r="G82" s="50"/>
      <c r="H82" s="50"/>
      <c r="I82" s="50"/>
      <c r="J82" s="50"/>
      <c r="K82" s="35" t="n">
        <f aca="false">COUNTA(D82:J82)</f>
        <v>0</v>
      </c>
      <c r="L82" s="34" t="n">
        <f aca="false">SUM(K82:K84)</f>
        <v>2</v>
      </c>
    </row>
    <row r="83" customFormat="false" ht="15" hidden="false" customHeight="false" outlineLevel="0" collapsed="false">
      <c r="B83" s="48"/>
      <c r="C83" s="49" t="s">
        <v>18</v>
      </c>
      <c r="D83" s="50"/>
      <c r="E83" s="50"/>
      <c r="F83" s="50"/>
      <c r="G83" s="50"/>
      <c r="H83" s="50"/>
      <c r="I83" s="50"/>
      <c r="J83" s="50"/>
      <c r="K83" s="35" t="n">
        <f aca="false">COUNTA(D83:J83)</f>
        <v>0</v>
      </c>
      <c r="L83" s="34"/>
    </row>
    <row r="84" customFormat="false" ht="15" hidden="false" customHeight="false" outlineLevel="0" collapsed="false">
      <c r="B84" s="48"/>
      <c r="C84" s="49" t="s">
        <v>23</v>
      </c>
      <c r="D84" s="50"/>
      <c r="E84" s="50"/>
      <c r="F84" s="50" t="s">
        <v>126</v>
      </c>
      <c r="G84" s="50"/>
      <c r="H84" s="50"/>
      <c r="I84" s="50"/>
      <c r="J84" s="50" t="s">
        <v>126</v>
      </c>
      <c r="K84" s="35" t="n">
        <f aca="false">COUNTA(D84:J84)</f>
        <v>2</v>
      </c>
      <c r="L84" s="34"/>
    </row>
    <row r="86" customFormat="false" ht="19.5" hidden="false" customHeight="true" outlineLevel="0" collapsed="false">
      <c r="B86" s="41" t="str">
        <f aca="false">"TABLEAU 2/12  -  PROGRAMME DE MAI 2027"&amp;IF($C$4="mai 2027","          &lt;&lt;&lt; MOIS ACTUELLEMENT FILTRE","")</f>
        <v>TABLEAU 2/12  -  PROGRAMME DE MAI 2027</v>
      </c>
      <c r="C86" s="41"/>
      <c r="D86" s="41"/>
      <c r="E86" s="41"/>
      <c r="F86" s="41"/>
      <c r="G86" s="41"/>
      <c r="H86" s="41"/>
      <c r="I86" s="41"/>
      <c r="J86" s="41"/>
      <c r="K86" s="46" t="s">
        <v>120</v>
      </c>
    </row>
    <row r="87" customFormat="false" ht="25.5" hidden="false" customHeight="true" outlineLevel="0" collapsed="false">
      <c r="B87" s="47" t="s">
        <v>82</v>
      </c>
      <c r="C87" s="47" t="s">
        <v>122</v>
      </c>
      <c r="D87" s="47" t="s">
        <v>26</v>
      </c>
      <c r="E87" s="47" t="s">
        <v>27</v>
      </c>
      <c r="F87" s="47" t="s">
        <v>28</v>
      </c>
      <c r="G87" s="47" t="s">
        <v>29</v>
      </c>
      <c r="H87" s="47" t="s">
        <v>30</v>
      </c>
      <c r="I87" s="47" t="s">
        <v>31</v>
      </c>
      <c r="J87" s="47" t="s">
        <v>32</v>
      </c>
      <c r="K87" s="47" t="s">
        <v>123</v>
      </c>
      <c r="L87" s="47" t="s">
        <v>124</v>
      </c>
    </row>
    <row r="88" customFormat="false" ht="15" hidden="false" customHeight="false" outlineLevel="0" collapsed="false">
      <c r="B88" s="48" t="s">
        <v>12</v>
      </c>
      <c r="C88" s="49" t="s">
        <v>11</v>
      </c>
      <c r="D88" s="50" t="s">
        <v>126</v>
      </c>
      <c r="E88" s="50" t="s">
        <v>126</v>
      </c>
      <c r="F88" s="50" t="s">
        <v>126</v>
      </c>
      <c r="G88" s="50" t="s">
        <v>126</v>
      </c>
      <c r="H88" s="50" t="s">
        <v>126</v>
      </c>
      <c r="I88" s="50" t="s">
        <v>126</v>
      </c>
      <c r="J88" s="50" t="s">
        <v>126</v>
      </c>
      <c r="K88" s="35" t="n">
        <f aca="false">COUNTA(D88:J88)</f>
        <v>7</v>
      </c>
      <c r="L88" s="34" t="n">
        <f aca="false">SUM(K88:K90)</f>
        <v>10</v>
      </c>
    </row>
    <row r="89" customFormat="false" ht="15" hidden="false" customHeight="false" outlineLevel="0" collapsed="false">
      <c r="B89" s="48"/>
      <c r="C89" s="49" t="s">
        <v>18</v>
      </c>
      <c r="D89" s="50" t="s">
        <v>126</v>
      </c>
      <c r="E89" s="50"/>
      <c r="F89" s="50"/>
      <c r="G89" s="50"/>
      <c r="H89" s="50" t="s">
        <v>126</v>
      </c>
      <c r="I89" s="50"/>
      <c r="J89" s="50"/>
      <c r="K89" s="35" t="n">
        <f aca="false">COUNTA(D89:J89)</f>
        <v>2</v>
      </c>
      <c r="L89" s="34"/>
    </row>
    <row r="90" customFormat="false" ht="15" hidden="false" customHeight="false" outlineLevel="0" collapsed="false">
      <c r="B90" s="48"/>
      <c r="C90" s="49" t="s">
        <v>23</v>
      </c>
      <c r="D90" s="50" t="s">
        <v>126</v>
      </c>
      <c r="E90" s="50"/>
      <c r="F90" s="50"/>
      <c r="G90" s="50"/>
      <c r="H90" s="50"/>
      <c r="I90" s="50"/>
      <c r="J90" s="50"/>
      <c r="K90" s="35" t="n">
        <f aca="false">COUNTA(D90:J90)</f>
        <v>1</v>
      </c>
      <c r="L90" s="34"/>
    </row>
    <row r="91" customFormat="false" ht="15" hidden="false" customHeight="false" outlineLevel="0" collapsed="false">
      <c r="B91" s="48" t="s">
        <v>19</v>
      </c>
      <c r="C91" s="49" t="s">
        <v>11</v>
      </c>
      <c r="D91" s="50"/>
      <c r="E91" s="50"/>
      <c r="F91" s="50"/>
      <c r="G91" s="50"/>
      <c r="H91" s="50"/>
      <c r="I91" s="50"/>
      <c r="J91" s="50" t="s">
        <v>126</v>
      </c>
      <c r="K91" s="35" t="n">
        <f aca="false">COUNTA(D91:J91)</f>
        <v>1</v>
      </c>
      <c r="L91" s="34" t="n">
        <f aca="false">SUM(K91:K93)</f>
        <v>3</v>
      </c>
    </row>
    <row r="92" customFormat="false" ht="15" hidden="false" customHeight="false" outlineLevel="0" collapsed="false">
      <c r="B92" s="48"/>
      <c r="C92" s="49" t="s">
        <v>18</v>
      </c>
      <c r="D92" s="50"/>
      <c r="E92" s="50" t="s">
        <v>126</v>
      </c>
      <c r="F92" s="50"/>
      <c r="G92" s="50"/>
      <c r="H92" s="50" t="s">
        <v>126</v>
      </c>
      <c r="I92" s="50"/>
      <c r="J92" s="50"/>
      <c r="K92" s="35" t="n">
        <f aca="false">COUNTA(D92:J92)</f>
        <v>2</v>
      </c>
      <c r="L92" s="34"/>
    </row>
    <row r="93" customFormat="false" ht="15" hidden="false" customHeight="false" outlineLevel="0" collapsed="false">
      <c r="B93" s="48"/>
      <c r="C93" s="49" t="s">
        <v>23</v>
      </c>
      <c r="D93" s="50"/>
      <c r="E93" s="50"/>
      <c r="F93" s="50"/>
      <c r="G93" s="50"/>
      <c r="H93" s="50"/>
      <c r="I93" s="50"/>
      <c r="J93" s="50"/>
      <c r="K93" s="35" t="n">
        <f aca="false">COUNTA(D93:J93)</f>
        <v>0</v>
      </c>
      <c r="L93" s="34"/>
    </row>
    <row r="94" customFormat="false" ht="15" hidden="false" customHeight="false" outlineLevel="0" collapsed="false">
      <c r="B94" s="48" t="s">
        <v>24</v>
      </c>
      <c r="C94" s="49" t="s">
        <v>11</v>
      </c>
      <c r="D94" s="50"/>
      <c r="E94" s="50"/>
      <c r="F94" s="50"/>
      <c r="G94" s="50"/>
      <c r="H94" s="50"/>
      <c r="I94" s="50"/>
      <c r="J94" s="50"/>
      <c r="K94" s="35" t="n">
        <f aca="false">COUNTA(D94:J94)</f>
        <v>0</v>
      </c>
      <c r="L94" s="34" t="n">
        <f aca="false">SUM(K94:K96)</f>
        <v>2</v>
      </c>
    </row>
    <row r="95" customFormat="false" ht="15" hidden="false" customHeight="false" outlineLevel="0" collapsed="false">
      <c r="B95" s="48"/>
      <c r="C95" s="49" t="s">
        <v>18</v>
      </c>
      <c r="D95" s="50"/>
      <c r="E95" s="50"/>
      <c r="F95" s="50" t="s">
        <v>126</v>
      </c>
      <c r="G95" s="50"/>
      <c r="H95" s="50"/>
      <c r="I95" s="50" t="s">
        <v>126</v>
      </c>
      <c r="J95" s="50"/>
      <c r="K95" s="35" t="n">
        <f aca="false">COUNTA(D95:J95)</f>
        <v>2</v>
      </c>
      <c r="L95" s="34"/>
    </row>
    <row r="96" customFormat="false" ht="15" hidden="false" customHeight="false" outlineLevel="0" collapsed="false">
      <c r="B96" s="48"/>
      <c r="C96" s="49" t="s">
        <v>23</v>
      </c>
      <c r="D96" s="50"/>
      <c r="E96" s="50"/>
      <c r="F96" s="50"/>
      <c r="G96" s="50"/>
      <c r="H96" s="50"/>
      <c r="I96" s="50"/>
      <c r="J96" s="50"/>
      <c r="K96" s="35" t="n">
        <f aca="false">COUNTA(D96:J96)</f>
        <v>0</v>
      </c>
      <c r="L96" s="34"/>
    </row>
    <row r="97" customFormat="false" ht="15" hidden="false" customHeight="false" outlineLevel="0" collapsed="false">
      <c r="B97" s="48" t="s">
        <v>35</v>
      </c>
      <c r="C97" s="49" t="s">
        <v>11</v>
      </c>
      <c r="D97" s="50"/>
      <c r="E97" s="50"/>
      <c r="F97" s="50"/>
      <c r="G97" s="50"/>
      <c r="H97" s="50"/>
      <c r="I97" s="50"/>
      <c r="J97" s="50"/>
      <c r="K97" s="35" t="n">
        <f aca="false">COUNTA(D97:J97)</f>
        <v>0</v>
      </c>
      <c r="L97" s="34" t="n">
        <f aca="false">SUM(K97:K99)</f>
        <v>6</v>
      </c>
    </row>
    <row r="98" customFormat="false" ht="15" hidden="false" customHeight="false" outlineLevel="0" collapsed="false">
      <c r="B98" s="48"/>
      <c r="C98" s="49" t="s">
        <v>18</v>
      </c>
      <c r="D98" s="50"/>
      <c r="E98" s="50"/>
      <c r="F98" s="50" t="s">
        <v>126</v>
      </c>
      <c r="G98" s="50"/>
      <c r="H98" s="50"/>
      <c r="I98" s="50"/>
      <c r="J98" s="50"/>
      <c r="K98" s="35" t="n">
        <f aca="false">COUNTA(D98:J98)</f>
        <v>1</v>
      </c>
      <c r="L98" s="34"/>
    </row>
    <row r="99" customFormat="false" ht="15" hidden="false" customHeight="false" outlineLevel="0" collapsed="false">
      <c r="B99" s="48"/>
      <c r="C99" s="49" t="s">
        <v>23</v>
      </c>
      <c r="D99" s="50" t="s">
        <v>126</v>
      </c>
      <c r="E99" s="50" t="s">
        <v>126</v>
      </c>
      <c r="F99" s="50" t="s">
        <v>126</v>
      </c>
      <c r="G99" s="50" t="s">
        <v>126</v>
      </c>
      <c r="H99" s="50" t="s">
        <v>126</v>
      </c>
      <c r="I99" s="50"/>
      <c r="J99" s="50"/>
      <c r="K99" s="35" t="n">
        <f aca="false">COUNTA(D99:J99)</f>
        <v>5</v>
      </c>
      <c r="L99" s="34"/>
    </row>
    <row r="100" customFormat="false" ht="15" hidden="false" customHeight="false" outlineLevel="0" collapsed="false">
      <c r="B100" s="48" t="s">
        <v>39</v>
      </c>
      <c r="C100" s="49" t="s">
        <v>11</v>
      </c>
      <c r="D100" s="50"/>
      <c r="E100" s="50"/>
      <c r="F100" s="50"/>
      <c r="G100" s="50"/>
      <c r="H100" s="50"/>
      <c r="I100" s="50"/>
      <c r="J100" s="50"/>
      <c r="K100" s="35" t="n">
        <f aca="false">COUNTA(D100:J100)</f>
        <v>0</v>
      </c>
      <c r="L100" s="34" t="n">
        <f aca="false">SUM(K100:K102)</f>
        <v>4</v>
      </c>
    </row>
    <row r="101" customFormat="false" ht="15" hidden="false" customHeight="false" outlineLevel="0" collapsed="false">
      <c r="B101" s="48"/>
      <c r="C101" s="49" t="s">
        <v>18</v>
      </c>
      <c r="D101" s="50"/>
      <c r="E101" s="50"/>
      <c r="F101" s="50"/>
      <c r="G101" s="50"/>
      <c r="H101" s="50"/>
      <c r="I101" s="50"/>
      <c r="J101" s="50"/>
      <c r="K101" s="35" t="n">
        <f aca="false">COUNTA(D101:J101)</f>
        <v>0</v>
      </c>
      <c r="L101" s="34"/>
    </row>
    <row r="102" customFormat="false" ht="15" hidden="false" customHeight="false" outlineLevel="0" collapsed="false">
      <c r="B102" s="48"/>
      <c r="C102" s="49" t="s">
        <v>23</v>
      </c>
      <c r="D102" s="50" t="s">
        <v>126</v>
      </c>
      <c r="E102" s="50"/>
      <c r="F102" s="50" t="s">
        <v>126</v>
      </c>
      <c r="G102" s="50"/>
      <c r="H102" s="50" t="s">
        <v>126</v>
      </c>
      <c r="I102" s="50"/>
      <c r="J102" s="50" t="s">
        <v>126</v>
      </c>
      <c r="K102" s="35" t="n">
        <f aca="false">COUNTA(D102:J102)</f>
        <v>4</v>
      </c>
      <c r="L102" s="34"/>
    </row>
    <row r="103" customFormat="false" ht="15" hidden="false" customHeight="false" outlineLevel="0" collapsed="false">
      <c r="B103" s="48" t="s">
        <v>14</v>
      </c>
      <c r="C103" s="49" t="s">
        <v>11</v>
      </c>
      <c r="D103" s="50"/>
      <c r="E103" s="50"/>
      <c r="F103" s="50"/>
      <c r="G103" s="50"/>
      <c r="H103" s="50"/>
      <c r="I103" s="50"/>
      <c r="J103" s="50"/>
      <c r="K103" s="35" t="n">
        <f aca="false">COUNTA(D103:J103)</f>
        <v>0</v>
      </c>
      <c r="L103" s="34" t="n">
        <f aca="false">SUM(K103:K105)</f>
        <v>3</v>
      </c>
    </row>
    <row r="104" customFormat="false" ht="15" hidden="false" customHeight="false" outlineLevel="0" collapsed="false">
      <c r="B104" s="48"/>
      <c r="C104" s="49" t="s">
        <v>18</v>
      </c>
      <c r="D104" s="50"/>
      <c r="E104" s="50"/>
      <c r="F104" s="50"/>
      <c r="G104" s="50"/>
      <c r="H104" s="50"/>
      <c r="I104" s="50"/>
      <c r="J104" s="50"/>
      <c r="K104" s="35" t="n">
        <f aca="false">COUNTA(D104:J104)</f>
        <v>0</v>
      </c>
      <c r="L104" s="34"/>
    </row>
    <row r="105" customFormat="false" ht="15" hidden="false" customHeight="false" outlineLevel="0" collapsed="false">
      <c r="B105" s="48"/>
      <c r="C105" s="49" t="s">
        <v>23</v>
      </c>
      <c r="D105" s="50" t="s">
        <v>126</v>
      </c>
      <c r="E105" s="50"/>
      <c r="F105" s="50"/>
      <c r="G105" s="50" t="s">
        <v>126</v>
      </c>
      <c r="H105" s="50"/>
      <c r="I105" s="50" t="s">
        <v>126</v>
      </c>
      <c r="J105" s="50"/>
      <c r="K105" s="35" t="n">
        <f aca="false">COUNTA(D105:J105)</f>
        <v>3</v>
      </c>
      <c r="L105" s="34"/>
    </row>
    <row r="106" customFormat="false" ht="15" hidden="false" customHeight="false" outlineLevel="0" collapsed="false">
      <c r="B106" s="48" t="s">
        <v>45</v>
      </c>
      <c r="C106" s="49" t="s">
        <v>11</v>
      </c>
      <c r="D106" s="50"/>
      <c r="E106" s="50"/>
      <c r="F106" s="50"/>
      <c r="G106" s="50"/>
      <c r="H106" s="50"/>
      <c r="I106" s="50"/>
      <c r="J106" s="50"/>
      <c r="K106" s="35" t="n">
        <f aca="false">COUNTA(D106:J106)</f>
        <v>0</v>
      </c>
      <c r="L106" s="34" t="n">
        <f aca="false">SUM(K106:K108)</f>
        <v>3</v>
      </c>
    </row>
    <row r="107" customFormat="false" ht="15" hidden="false" customHeight="false" outlineLevel="0" collapsed="false">
      <c r="B107" s="48"/>
      <c r="C107" s="49" t="s">
        <v>18</v>
      </c>
      <c r="D107" s="50"/>
      <c r="E107" s="50"/>
      <c r="F107" s="50"/>
      <c r="G107" s="50"/>
      <c r="H107" s="50"/>
      <c r="I107" s="50"/>
      <c r="J107" s="50"/>
      <c r="K107" s="35" t="n">
        <f aca="false">COUNTA(D107:J107)</f>
        <v>0</v>
      </c>
      <c r="L107" s="34"/>
    </row>
    <row r="108" customFormat="false" ht="15" hidden="false" customHeight="false" outlineLevel="0" collapsed="false">
      <c r="B108" s="48"/>
      <c r="C108" s="49" t="s">
        <v>23</v>
      </c>
      <c r="D108" s="50"/>
      <c r="E108" s="50" t="s">
        <v>126</v>
      </c>
      <c r="F108" s="50"/>
      <c r="G108" s="50" t="s">
        <v>126</v>
      </c>
      <c r="H108" s="50"/>
      <c r="I108" s="50" t="s">
        <v>126</v>
      </c>
      <c r="J108" s="50"/>
      <c r="K108" s="35" t="n">
        <f aca="false">COUNTA(D108:J108)</f>
        <v>3</v>
      </c>
      <c r="L108" s="34"/>
    </row>
    <row r="109" customFormat="false" ht="15" hidden="false" customHeight="false" outlineLevel="0" collapsed="false">
      <c r="B109" s="48" t="s">
        <v>48</v>
      </c>
      <c r="C109" s="49" t="s">
        <v>11</v>
      </c>
      <c r="D109" s="50"/>
      <c r="E109" s="50"/>
      <c r="F109" s="50"/>
      <c r="G109" s="50"/>
      <c r="H109" s="50"/>
      <c r="I109" s="50"/>
      <c r="J109" s="50"/>
      <c r="K109" s="35" t="n">
        <f aca="false">COUNTA(D109:J109)</f>
        <v>0</v>
      </c>
      <c r="L109" s="34" t="n">
        <f aca="false">SUM(K109:K111)</f>
        <v>2</v>
      </c>
    </row>
    <row r="110" customFormat="false" ht="15" hidden="false" customHeight="false" outlineLevel="0" collapsed="false">
      <c r="B110" s="48"/>
      <c r="C110" s="49" t="s">
        <v>18</v>
      </c>
      <c r="D110" s="50" t="s">
        <v>126</v>
      </c>
      <c r="E110" s="50"/>
      <c r="F110" s="50"/>
      <c r="G110" s="50"/>
      <c r="H110" s="50" t="s">
        <v>126</v>
      </c>
      <c r="I110" s="50"/>
      <c r="J110" s="50"/>
      <c r="K110" s="35" t="n">
        <f aca="false">COUNTA(D110:J110)</f>
        <v>2</v>
      </c>
      <c r="L110" s="34"/>
    </row>
    <row r="111" customFormat="false" ht="15" hidden="false" customHeight="false" outlineLevel="0" collapsed="false">
      <c r="B111" s="48"/>
      <c r="C111" s="49" t="s">
        <v>23</v>
      </c>
      <c r="D111" s="50"/>
      <c r="E111" s="50"/>
      <c r="F111" s="50"/>
      <c r="G111" s="50"/>
      <c r="H111" s="50"/>
      <c r="I111" s="50"/>
      <c r="J111" s="50"/>
      <c r="K111" s="35" t="n">
        <f aca="false">COUNTA(D111:J111)</f>
        <v>0</v>
      </c>
      <c r="L111" s="34"/>
    </row>
    <row r="112" customFormat="false" ht="15" hidden="false" customHeight="false" outlineLevel="0" collapsed="false">
      <c r="B112" s="48" t="s">
        <v>52</v>
      </c>
      <c r="C112" s="49" t="s">
        <v>11</v>
      </c>
      <c r="D112" s="50"/>
      <c r="E112" s="50"/>
      <c r="F112" s="50"/>
      <c r="G112" s="50"/>
      <c r="H112" s="50"/>
      <c r="I112" s="50"/>
      <c r="J112" s="50"/>
      <c r="K112" s="35" t="n">
        <f aca="false">COUNTA(D112:J112)</f>
        <v>0</v>
      </c>
      <c r="L112" s="34" t="n">
        <f aca="false">SUM(K112:K114)</f>
        <v>1</v>
      </c>
    </row>
    <row r="113" customFormat="false" ht="15" hidden="false" customHeight="false" outlineLevel="0" collapsed="false">
      <c r="B113" s="48"/>
      <c r="C113" s="49" t="s">
        <v>18</v>
      </c>
      <c r="D113" s="50"/>
      <c r="E113" s="50"/>
      <c r="F113" s="50"/>
      <c r="G113" s="50" t="s">
        <v>126</v>
      </c>
      <c r="H113" s="50"/>
      <c r="I113" s="50"/>
      <c r="J113" s="50"/>
      <c r="K113" s="35" t="n">
        <f aca="false">COUNTA(D113:J113)</f>
        <v>1</v>
      </c>
      <c r="L113" s="34"/>
    </row>
    <row r="114" customFormat="false" ht="15" hidden="false" customHeight="false" outlineLevel="0" collapsed="false">
      <c r="B114" s="48"/>
      <c r="C114" s="49" t="s">
        <v>23</v>
      </c>
      <c r="D114" s="50"/>
      <c r="E114" s="50"/>
      <c r="F114" s="50"/>
      <c r="G114" s="50"/>
      <c r="H114" s="50"/>
      <c r="I114" s="50"/>
      <c r="J114" s="50"/>
      <c r="K114" s="35" t="n">
        <f aca="false">COUNTA(D114:J114)</f>
        <v>0</v>
      </c>
      <c r="L114" s="34"/>
    </row>
    <row r="115" customFormat="false" ht="15" hidden="false" customHeight="false" outlineLevel="0" collapsed="false">
      <c r="B115" s="48" t="s">
        <v>55</v>
      </c>
      <c r="C115" s="49" t="s">
        <v>11</v>
      </c>
      <c r="D115" s="50"/>
      <c r="E115" s="50"/>
      <c r="F115" s="50"/>
      <c r="G115" s="50"/>
      <c r="H115" s="50"/>
      <c r="I115" s="50"/>
      <c r="J115" s="50"/>
      <c r="K115" s="35" t="n">
        <f aca="false">COUNTA(D115:J115)</f>
        <v>0</v>
      </c>
      <c r="L115" s="34" t="n">
        <f aca="false">SUM(K115:K117)</f>
        <v>2</v>
      </c>
    </row>
    <row r="116" customFormat="false" ht="15" hidden="false" customHeight="false" outlineLevel="0" collapsed="false">
      <c r="B116" s="48"/>
      <c r="C116" s="49" t="s">
        <v>18</v>
      </c>
      <c r="D116" s="50"/>
      <c r="E116" s="50"/>
      <c r="F116" s="50"/>
      <c r="G116" s="50"/>
      <c r="H116" s="50"/>
      <c r="I116" s="50"/>
      <c r="J116" s="50"/>
      <c r="K116" s="35" t="n">
        <f aca="false">COUNTA(D116:J116)</f>
        <v>0</v>
      </c>
      <c r="L116" s="34"/>
    </row>
    <row r="117" customFormat="false" ht="15" hidden="false" customHeight="false" outlineLevel="0" collapsed="false">
      <c r="B117" s="48"/>
      <c r="C117" s="49" t="s">
        <v>23</v>
      </c>
      <c r="D117" s="50"/>
      <c r="E117" s="50" t="s">
        <v>126</v>
      </c>
      <c r="F117" s="50"/>
      <c r="G117" s="50"/>
      <c r="H117" s="50"/>
      <c r="I117" s="50" t="s">
        <v>126</v>
      </c>
      <c r="J117" s="50"/>
      <c r="K117" s="35" t="n">
        <f aca="false">COUNTA(D117:J117)</f>
        <v>2</v>
      </c>
      <c r="L117" s="34"/>
    </row>
    <row r="118" customFormat="false" ht="15" hidden="false" customHeight="false" outlineLevel="0" collapsed="false">
      <c r="B118" s="48" t="s">
        <v>58</v>
      </c>
      <c r="C118" s="49" t="s">
        <v>11</v>
      </c>
      <c r="D118" s="50"/>
      <c r="E118" s="50"/>
      <c r="F118" s="50"/>
      <c r="G118" s="50"/>
      <c r="H118" s="50"/>
      <c r="I118" s="50"/>
      <c r="J118" s="50"/>
      <c r="K118" s="35" t="n">
        <f aca="false">COUNTA(D118:J118)</f>
        <v>0</v>
      </c>
      <c r="L118" s="34" t="n">
        <f aca="false">SUM(K118:K120)</f>
        <v>6</v>
      </c>
    </row>
    <row r="119" customFormat="false" ht="15" hidden="false" customHeight="false" outlineLevel="0" collapsed="false">
      <c r="B119" s="48"/>
      <c r="C119" s="49" t="s">
        <v>18</v>
      </c>
      <c r="D119" s="50"/>
      <c r="E119" s="50"/>
      <c r="F119" s="50"/>
      <c r="G119" s="50"/>
      <c r="H119" s="50"/>
      <c r="I119" s="50"/>
      <c r="J119" s="50"/>
      <c r="K119" s="35" t="n">
        <f aca="false">COUNTA(D119:J119)</f>
        <v>0</v>
      </c>
      <c r="L119" s="34"/>
    </row>
    <row r="120" customFormat="false" ht="15" hidden="false" customHeight="false" outlineLevel="0" collapsed="false">
      <c r="B120" s="48"/>
      <c r="C120" s="49" t="s">
        <v>23</v>
      </c>
      <c r="D120" s="50" t="s">
        <v>126</v>
      </c>
      <c r="E120" s="50" t="s">
        <v>126</v>
      </c>
      <c r="F120" s="50" t="s">
        <v>126</v>
      </c>
      <c r="G120" s="50" t="s">
        <v>126</v>
      </c>
      <c r="H120" s="50" t="s">
        <v>126</v>
      </c>
      <c r="I120" s="50" t="s">
        <v>126</v>
      </c>
      <c r="J120" s="50"/>
      <c r="K120" s="35" t="n">
        <f aca="false">COUNTA(D120:J120)</f>
        <v>6</v>
      </c>
      <c r="L120" s="34"/>
    </row>
    <row r="121" customFormat="false" ht="15" hidden="false" customHeight="false" outlineLevel="0" collapsed="false">
      <c r="B121" s="48" t="s">
        <v>61</v>
      </c>
      <c r="C121" s="49" t="s">
        <v>11</v>
      </c>
      <c r="D121" s="50"/>
      <c r="E121" s="50"/>
      <c r="F121" s="50"/>
      <c r="G121" s="50"/>
      <c r="H121" s="50"/>
      <c r="I121" s="50"/>
      <c r="J121" s="50"/>
      <c r="K121" s="35" t="n">
        <f aca="false">COUNTA(D121:J121)</f>
        <v>0</v>
      </c>
      <c r="L121" s="34" t="n">
        <f aca="false">SUM(K121:K123)</f>
        <v>2</v>
      </c>
    </row>
    <row r="122" customFormat="false" ht="15" hidden="false" customHeight="false" outlineLevel="0" collapsed="false">
      <c r="B122" s="48"/>
      <c r="C122" s="49" t="s">
        <v>18</v>
      </c>
      <c r="D122" s="50"/>
      <c r="E122" s="50"/>
      <c r="F122" s="50"/>
      <c r="G122" s="50"/>
      <c r="H122" s="50"/>
      <c r="I122" s="50"/>
      <c r="J122" s="50"/>
      <c r="K122" s="35" t="n">
        <f aca="false">COUNTA(D122:J122)</f>
        <v>0</v>
      </c>
      <c r="L122" s="34"/>
    </row>
    <row r="123" customFormat="false" ht="15" hidden="false" customHeight="false" outlineLevel="0" collapsed="false">
      <c r="B123" s="48"/>
      <c r="C123" s="49" t="s">
        <v>23</v>
      </c>
      <c r="D123" s="50"/>
      <c r="E123" s="50"/>
      <c r="F123" s="50" t="s">
        <v>126</v>
      </c>
      <c r="G123" s="50"/>
      <c r="H123" s="50"/>
      <c r="I123" s="50"/>
      <c r="J123" s="50" t="s">
        <v>126</v>
      </c>
      <c r="K123" s="35" t="n">
        <f aca="false">COUNTA(D123:J123)</f>
        <v>2</v>
      </c>
      <c r="L123" s="34"/>
    </row>
    <row r="125" customFormat="false" ht="19.5" hidden="false" customHeight="true" outlineLevel="0" collapsed="false">
      <c r="B125" s="41" t="str">
        <f aca="false">"TABLEAU 3/12  -  PROGRAMME DE JUIN 2027"&amp;IF($C$4="juin 2027","          &lt;&lt;&lt; MOIS ACTUELLEMENT FILTRE","")</f>
        <v>TABLEAU 3/12  -  PROGRAMME DE JUIN 2027</v>
      </c>
      <c r="C125" s="41"/>
      <c r="D125" s="41"/>
      <c r="E125" s="41"/>
      <c r="F125" s="41"/>
      <c r="G125" s="41"/>
      <c r="H125" s="41"/>
      <c r="I125" s="41"/>
      <c r="J125" s="41"/>
      <c r="K125" s="46" t="s">
        <v>120</v>
      </c>
    </row>
    <row r="126" customFormat="false" ht="25.5" hidden="false" customHeight="true" outlineLevel="0" collapsed="false">
      <c r="B126" s="47" t="s">
        <v>82</v>
      </c>
      <c r="C126" s="47" t="s">
        <v>122</v>
      </c>
      <c r="D126" s="47" t="s">
        <v>26</v>
      </c>
      <c r="E126" s="47" t="s">
        <v>27</v>
      </c>
      <c r="F126" s="47" t="s">
        <v>28</v>
      </c>
      <c r="G126" s="47" t="s">
        <v>29</v>
      </c>
      <c r="H126" s="47" t="s">
        <v>30</v>
      </c>
      <c r="I126" s="47" t="s">
        <v>31</v>
      </c>
      <c r="J126" s="47" t="s">
        <v>32</v>
      </c>
      <c r="K126" s="47" t="s">
        <v>123</v>
      </c>
      <c r="L126" s="47" t="s">
        <v>124</v>
      </c>
    </row>
    <row r="127" customFormat="false" ht="15" hidden="false" customHeight="false" outlineLevel="0" collapsed="false">
      <c r="B127" s="48" t="s">
        <v>12</v>
      </c>
      <c r="C127" s="49" t="s">
        <v>11</v>
      </c>
      <c r="D127" s="50" t="s">
        <v>126</v>
      </c>
      <c r="E127" s="50" t="s">
        <v>126</v>
      </c>
      <c r="F127" s="50" t="s">
        <v>126</v>
      </c>
      <c r="G127" s="50" t="s">
        <v>126</v>
      </c>
      <c r="H127" s="50" t="s">
        <v>126</v>
      </c>
      <c r="I127" s="50" t="s">
        <v>126</v>
      </c>
      <c r="J127" s="50" t="s">
        <v>126</v>
      </c>
      <c r="K127" s="35" t="n">
        <f aca="false">COUNTA(D127:J127)</f>
        <v>7</v>
      </c>
      <c r="L127" s="34" t="n">
        <f aca="false">SUM(K127:K129)</f>
        <v>10</v>
      </c>
    </row>
    <row r="128" customFormat="false" ht="15" hidden="false" customHeight="false" outlineLevel="0" collapsed="false">
      <c r="B128" s="48"/>
      <c r="C128" s="49" t="s">
        <v>18</v>
      </c>
      <c r="D128" s="50" t="s">
        <v>126</v>
      </c>
      <c r="E128" s="50"/>
      <c r="F128" s="50"/>
      <c r="G128" s="50"/>
      <c r="H128" s="50" t="s">
        <v>126</v>
      </c>
      <c r="I128" s="50"/>
      <c r="J128" s="50"/>
      <c r="K128" s="35" t="n">
        <f aca="false">COUNTA(D128:J128)</f>
        <v>2</v>
      </c>
      <c r="L128" s="34"/>
    </row>
    <row r="129" customFormat="false" ht="15" hidden="false" customHeight="false" outlineLevel="0" collapsed="false">
      <c r="B129" s="48"/>
      <c r="C129" s="49" t="s">
        <v>23</v>
      </c>
      <c r="D129" s="50" t="s">
        <v>126</v>
      </c>
      <c r="E129" s="50"/>
      <c r="F129" s="50"/>
      <c r="G129" s="50"/>
      <c r="H129" s="50"/>
      <c r="I129" s="50"/>
      <c r="J129" s="50"/>
      <c r="K129" s="35" t="n">
        <f aca="false">COUNTA(D129:J129)</f>
        <v>1</v>
      </c>
      <c r="L129" s="34"/>
    </row>
    <row r="130" customFormat="false" ht="15" hidden="false" customHeight="false" outlineLevel="0" collapsed="false">
      <c r="B130" s="48" t="s">
        <v>19</v>
      </c>
      <c r="C130" s="49" t="s">
        <v>11</v>
      </c>
      <c r="D130" s="50"/>
      <c r="E130" s="50"/>
      <c r="F130" s="50"/>
      <c r="G130" s="50"/>
      <c r="H130" s="50"/>
      <c r="I130" s="50"/>
      <c r="J130" s="50" t="s">
        <v>126</v>
      </c>
      <c r="K130" s="35" t="n">
        <f aca="false">COUNTA(D130:J130)</f>
        <v>1</v>
      </c>
      <c r="L130" s="34" t="n">
        <f aca="false">SUM(K130:K132)</f>
        <v>3</v>
      </c>
    </row>
    <row r="131" customFormat="false" ht="15" hidden="false" customHeight="false" outlineLevel="0" collapsed="false">
      <c r="B131" s="48"/>
      <c r="C131" s="49" t="s">
        <v>18</v>
      </c>
      <c r="D131" s="50"/>
      <c r="E131" s="50" t="s">
        <v>126</v>
      </c>
      <c r="F131" s="50"/>
      <c r="G131" s="50"/>
      <c r="H131" s="50" t="s">
        <v>126</v>
      </c>
      <c r="I131" s="50"/>
      <c r="J131" s="50"/>
      <c r="K131" s="35" t="n">
        <f aca="false">COUNTA(D131:J131)</f>
        <v>2</v>
      </c>
      <c r="L131" s="34"/>
    </row>
    <row r="132" customFormat="false" ht="15" hidden="false" customHeight="false" outlineLevel="0" collapsed="false">
      <c r="B132" s="48"/>
      <c r="C132" s="49" t="s">
        <v>23</v>
      </c>
      <c r="D132" s="50"/>
      <c r="E132" s="50"/>
      <c r="F132" s="50"/>
      <c r="G132" s="50"/>
      <c r="H132" s="50"/>
      <c r="I132" s="50"/>
      <c r="J132" s="50"/>
      <c r="K132" s="35" t="n">
        <f aca="false">COUNTA(D132:J132)</f>
        <v>0</v>
      </c>
      <c r="L132" s="34"/>
    </row>
    <row r="133" customFormat="false" ht="15" hidden="false" customHeight="false" outlineLevel="0" collapsed="false">
      <c r="B133" s="48" t="s">
        <v>24</v>
      </c>
      <c r="C133" s="49" t="s">
        <v>11</v>
      </c>
      <c r="D133" s="50"/>
      <c r="E133" s="50"/>
      <c r="F133" s="50"/>
      <c r="G133" s="50"/>
      <c r="H133" s="50"/>
      <c r="I133" s="50"/>
      <c r="J133" s="50"/>
      <c r="K133" s="35" t="n">
        <f aca="false">COUNTA(D133:J133)</f>
        <v>0</v>
      </c>
      <c r="L133" s="34" t="n">
        <f aca="false">SUM(K133:K135)</f>
        <v>2</v>
      </c>
    </row>
    <row r="134" customFormat="false" ht="15" hidden="false" customHeight="false" outlineLevel="0" collapsed="false">
      <c r="B134" s="48"/>
      <c r="C134" s="49" t="s">
        <v>18</v>
      </c>
      <c r="D134" s="50"/>
      <c r="E134" s="50"/>
      <c r="F134" s="50" t="s">
        <v>126</v>
      </c>
      <c r="G134" s="50"/>
      <c r="H134" s="50"/>
      <c r="I134" s="50" t="s">
        <v>126</v>
      </c>
      <c r="J134" s="50"/>
      <c r="K134" s="35" t="n">
        <f aca="false">COUNTA(D134:J134)</f>
        <v>2</v>
      </c>
      <c r="L134" s="34"/>
    </row>
    <row r="135" customFormat="false" ht="15" hidden="false" customHeight="false" outlineLevel="0" collapsed="false">
      <c r="B135" s="48"/>
      <c r="C135" s="49" t="s">
        <v>23</v>
      </c>
      <c r="D135" s="50"/>
      <c r="E135" s="50"/>
      <c r="F135" s="50"/>
      <c r="G135" s="50"/>
      <c r="H135" s="50"/>
      <c r="I135" s="50"/>
      <c r="J135" s="50"/>
      <c r="K135" s="35" t="n">
        <f aca="false">COUNTA(D135:J135)</f>
        <v>0</v>
      </c>
      <c r="L135" s="34"/>
    </row>
    <row r="136" customFormat="false" ht="15" hidden="false" customHeight="false" outlineLevel="0" collapsed="false">
      <c r="B136" s="48" t="s">
        <v>35</v>
      </c>
      <c r="C136" s="49" t="s">
        <v>11</v>
      </c>
      <c r="D136" s="50"/>
      <c r="E136" s="50"/>
      <c r="F136" s="50"/>
      <c r="G136" s="50"/>
      <c r="H136" s="50"/>
      <c r="I136" s="50"/>
      <c r="J136" s="50"/>
      <c r="K136" s="35" t="n">
        <f aca="false">COUNTA(D136:J136)</f>
        <v>0</v>
      </c>
      <c r="L136" s="34" t="n">
        <f aca="false">SUM(K136:K138)</f>
        <v>6</v>
      </c>
    </row>
    <row r="137" customFormat="false" ht="15" hidden="false" customHeight="false" outlineLevel="0" collapsed="false">
      <c r="B137" s="48"/>
      <c r="C137" s="49" t="s">
        <v>18</v>
      </c>
      <c r="D137" s="50"/>
      <c r="E137" s="50"/>
      <c r="F137" s="50" t="s">
        <v>126</v>
      </c>
      <c r="G137" s="50"/>
      <c r="H137" s="50"/>
      <c r="I137" s="50"/>
      <c r="J137" s="50"/>
      <c r="K137" s="35" t="n">
        <f aca="false">COUNTA(D137:J137)</f>
        <v>1</v>
      </c>
      <c r="L137" s="34"/>
    </row>
    <row r="138" customFormat="false" ht="15" hidden="false" customHeight="false" outlineLevel="0" collapsed="false">
      <c r="B138" s="48"/>
      <c r="C138" s="49" t="s">
        <v>23</v>
      </c>
      <c r="D138" s="50" t="s">
        <v>126</v>
      </c>
      <c r="E138" s="50" t="s">
        <v>126</v>
      </c>
      <c r="F138" s="50" t="s">
        <v>126</v>
      </c>
      <c r="G138" s="50" t="s">
        <v>126</v>
      </c>
      <c r="H138" s="50" t="s">
        <v>126</v>
      </c>
      <c r="I138" s="50"/>
      <c r="J138" s="50"/>
      <c r="K138" s="35" t="n">
        <f aca="false">COUNTA(D138:J138)</f>
        <v>5</v>
      </c>
      <c r="L138" s="34"/>
    </row>
    <row r="139" customFormat="false" ht="15" hidden="false" customHeight="false" outlineLevel="0" collapsed="false">
      <c r="B139" s="48" t="s">
        <v>39</v>
      </c>
      <c r="C139" s="49" t="s">
        <v>11</v>
      </c>
      <c r="D139" s="50"/>
      <c r="E139" s="50"/>
      <c r="F139" s="50"/>
      <c r="G139" s="50"/>
      <c r="H139" s="50"/>
      <c r="I139" s="50"/>
      <c r="J139" s="50"/>
      <c r="K139" s="35" t="n">
        <f aca="false">COUNTA(D139:J139)</f>
        <v>0</v>
      </c>
      <c r="L139" s="34" t="n">
        <f aca="false">SUM(K139:K141)</f>
        <v>4</v>
      </c>
    </row>
    <row r="140" customFormat="false" ht="15" hidden="false" customHeight="false" outlineLevel="0" collapsed="false">
      <c r="B140" s="48"/>
      <c r="C140" s="49" t="s">
        <v>18</v>
      </c>
      <c r="D140" s="50"/>
      <c r="E140" s="50"/>
      <c r="F140" s="50"/>
      <c r="G140" s="50"/>
      <c r="H140" s="50"/>
      <c r="I140" s="50"/>
      <c r="J140" s="50"/>
      <c r="K140" s="35" t="n">
        <f aca="false">COUNTA(D140:J140)</f>
        <v>0</v>
      </c>
      <c r="L140" s="34"/>
    </row>
    <row r="141" customFormat="false" ht="15" hidden="false" customHeight="false" outlineLevel="0" collapsed="false">
      <c r="B141" s="48"/>
      <c r="C141" s="49" t="s">
        <v>23</v>
      </c>
      <c r="D141" s="50" t="s">
        <v>126</v>
      </c>
      <c r="E141" s="50"/>
      <c r="F141" s="50" t="s">
        <v>126</v>
      </c>
      <c r="G141" s="50"/>
      <c r="H141" s="50" t="s">
        <v>126</v>
      </c>
      <c r="I141" s="50"/>
      <c r="J141" s="50" t="s">
        <v>126</v>
      </c>
      <c r="K141" s="35" t="n">
        <f aca="false">COUNTA(D141:J141)</f>
        <v>4</v>
      </c>
      <c r="L141" s="34"/>
    </row>
    <row r="142" customFormat="false" ht="15" hidden="false" customHeight="false" outlineLevel="0" collapsed="false">
      <c r="B142" s="48" t="s">
        <v>14</v>
      </c>
      <c r="C142" s="49" t="s">
        <v>11</v>
      </c>
      <c r="D142" s="50"/>
      <c r="E142" s="50"/>
      <c r="F142" s="50"/>
      <c r="G142" s="50"/>
      <c r="H142" s="50"/>
      <c r="I142" s="50"/>
      <c r="J142" s="50"/>
      <c r="K142" s="35" t="n">
        <f aca="false">COUNTA(D142:J142)</f>
        <v>0</v>
      </c>
      <c r="L142" s="34" t="n">
        <f aca="false">SUM(K142:K144)</f>
        <v>3</v>
      </c>
    </row>
    <row r="143" customFormat="false" ht="15" hidden="false" customHeight="false" outlineLevel="0" collapsed="false">
      <c r="B143" s="48"/>
      <c r="C143" s="49" t="s">
        <v>18</v>
      </c>
      <c r="D143" s="50"/>
      <c r="E143" s="50"/>
      <c r="F143" s="50"/>
      <c r="G143" s="50"/>
      <c r="H143" s="50"/>
      <c r="I143" s="50"/>
      <c r="J143" s="50"/>
      <c r="K143" s="35" t="n">
        <f aca="false">COUNTA(D143:J143)</f>
        <v>0</v>
      </c>
      <c r="L143" s="34"/>
    </row>
    <row r="144" customFormat="false" ht="15" hidden="false" customHeight="false" outlineLevel="0" collapsed="false">
      <c r="B144" s="48"/>
      <c r="C144" s="49" t="s">
        <v>23</v>
      </c>
      <c r="D144" s="50" t="s">
        <v>126</v>
      </c>
      <c r="E144" s="50"/>
      <c r="F144" s="50"/>
      <c r="G144" s="50" t="s">
        <v>126</v>
      </c>
      <c r="H144" s="50"/>
      <c r="I144" s="50" t="s">
        <v>126</v>
      </c>
      <c r="J144" s="50"/>
      <c r="K144" s="35" t="n">
        <f aca="false">COUNTA(D144:J144)</f>
        <v>3</v>
      </c>
      <c r="L144" s="34"/>
    </row>
    <row r="145" customFormat="false" ht="15" hidden="false" customHeight="false" outlineLevel="0" collapsed="false">
      <c r="B145" s="48" t="s">
        <v>45</v>
      </c>
      <c r="C145" s="49" t="s">
        <v>11</v>
      </c>
      <c r="D145" s="50"/>
      <c r="E145" s="50"/>
      <c r="F145" s="50"/>
      <c r="G145" s="50"/>
      <c r="H145" s="50"/>
      <c r="I145" s="50"/>
      <c r="J145" s="50"/>
      <c r="K145" s="35" t="n">
        <f aca="false">COUNTA(D145:J145)</f>
        <v>0</v>
      </c>
      <c r="L145" s="34" t="n">
        <f aca="false">SUM(K145:K147)</f>
        <v>3</v>
      </c>
    </row>
    <row r="146" customFormat="false" ht="15" hidden="false" customHeight="false" outlineLevel="0" collapsed="false">
      <c r="B146" s="48"/>
      <c r="C146" s="49" t="s">
        <v>18</v>
      </c>
      <c r="D146" s="50"/>
      <c r="E146" s="50"/>
      <c r="F146" s="50"/>
      <c r="G146" s="50"/>
      <c r="H146" s="50"/>
      <c r="I146" s="50"/>
      <c r="J146" s="50"/>
      <c r="K146" s="35" t="n">
        <f aca="false">COUNTA(D146:J146)</f>
        <v>0</v>
      </c>
      <c r="L146" s="34"/>
    </row>
    <row r="147" customFormat="false" ht="15" hidden="false" customHeight="false" outlineLevel="0" collapsed="false">
      <c r="B147" s="48"/>
      <c r="C147" s="49" t="s">
        <v>23</v>
      </c>
      <c r="D147" s="50"/>
      <c r="E147" s="50" t="s">
        <v>126</v>
      </c>
      <c r="F147" s="50"/>
      <c r="G147" s="50" t="s">
        <v>126</v>
      </c>
      <c r="H147" s="50"/>
      <c r="I147" s="50" t="s">
        <v>126</v>
      </c>
      <c r="J147" s="50"/>
      <c r="K147" s="35" t="n">
        <f aca="false">COUNTA(D147:J147)</f>
        <v>3</v>
      </c>
      <c r="L147" s="34"/>
    </row>
    <row r="148" customFormat="false" ht="15" hidden="false" customHeight="false" outlineLevel="0" collapsed="false">
      <c r="B148" s="48" t="s">
        <v>48</v>
      </c>
      <c r="C148" s="49" t="s">
        <v>11</v>
      </c>
      <c r="D148" s="50"/>
      <c r="E148" s="50"/>
      <c r="F148" s="50"/>
      <c r="G148" s="50"/>
      <c r="H148" s="50"/>
      <c r="I148" s="50"/>
      <c r="J148" s="50"/>
      <c r="K148" s="35" t="n">
        <f aca="false">COUNTA(D148:J148)</f>
        <v>0</v>
      </c>
      <c r="L148" s="34" t="n">
        <f aca="false">SUM(K148:K150)</f>
        <v>2</v>
      </c>
    </row>
    <row r="149" customFormat="false" ht="15" hidden="false" customHeight="false" outlineLevel="0" collapsed="false">
      <c r="B149" s="48"/>
      <c r="C149" s="49" t="s">
        <v>18</v>
      </c>
      <c r="D149" s="50" t="s">
        <v>126</v>
      </c>
      <c r="E149" s="50"/>
      <c r="F149" s="50"/>
      <c r="G149" s="50"/>
      <c r="H149" s="50" t="s">
        <v>126</v>
      </c>
      <c r="I149" s="50"/>
      <c r="J149" s="50"/>
      <c r="K149" s="35" t="n">
        <f aca="false">COUNTA(D149:J149)</f>
        <v>2</v>
      </c>
      <c r="L149" s="34"/>
    </row>
    <row r="150" customFormat="false" ht="15" hidden="false" customHeight="false" outlineLevel="0" collapsed="false">
      <c r="B150" s="48"/>
      <c r="C150" s="49" t="s">
        <v>23</v>
      </c>
      <c r="D150" s="50"/>
      <c r="E150" s="50"/>
      <c r="F150" s="50"/>
      <c r="G150" s="50"/>
      <c r="H150" s="50"/>
      <c r="I150" s="50"/>
      <c r="J150" s="50"/>
      <c r="K150" s="35" t="n">
        <f aca="false">COUNTA(D150:J150)</f>
        <v>0</v>
      </c>
      <c r="L150" s="34"/>
    </row>
    <row r="151" customFormat="false" ht="15" hidden="false" customHeight="false" outlineLevel="0" collapsed="false">
      <c r="B151" s="48" t="s">
        <v>52</v>
      </c>
      <c r="C151" s="49" t="s">
        <v>11</v>
      </c>
      <c r="D151" s="50"/>
      <c r="E151" s="50"/>
      <c r="F151" s="50"/>
      <c r="G151" s="50"/>
      <c r="H151" s="50"/>
      <c r="I151" s="50"/>
      <c r="J151" s="50"/>
      <c r="K151" s="35" t="n">
        <f aca="false">COUNTA(D151:J151)</f>
        <v>0</v>
      </c>
      <c r="L151" s="34" t="n">
        <f aca="false">SUM(K151:K153)</f>
        <v>1</v>
      </c>
    </row>
    <row r="152" customFormat="false" ht="15" hidden="false" customHeight="false" outlineLevel="0" collapsed="false">
      <c r="B152" s="48"/>
      <c r="C152" s="49" t="s">
        <v>18</v>
      </c>
      <c r="D152" s="50"/>
      <c r="E152" s="50"/>
      <c r="F152" s="50"/>
      <c r="G152" s="50" t="s">
        <v>126</v>
      </c>
      <c r="H152" s="50"/>
      <c r="I152" s="50"/>
      <c r="J152" s="50"/>
      <c r="K152" s="35" t="n">
        <f aca="false">COUNTA(D152:J152)</f>
        <v>1</v>
      </c>
      <c r="L152" s="34"/>
    </row>
    <row r="153" customFormat="false" ht="15" hidden="false" customHeight="false" outlineLevel="0" collapsed="false">
      <c r="B153" s="48"/>
      <c r="C153" s="49" t="s">
        <v>23</v>
      </c>
      <c r="D153" s="50"/>
      <c r="E153" s="50"/>
      <c r="F153" s="50"/>
      <c r="G153" s="50"/>
      <c r="H153" s="50"/>
      <c r="I153" s="50"/>
      <c r="J153" s="50"/>
      <c r="K153" s="35" t="n">
        <f aca="false">COUNTA(D153:J153)</f>
        <v>0</v>
      </c>
      <c r="L153" s="34"/>
    </row>
    <row r="154" customFormat="false" ht="15" hidden="false" customHeight="false" outlineLevel="0" collapsed="false">
      <c r="B154" s="48" t="s">
        <v>55</v>
      </c>
      <c r="C154" s="49" t="s">
        <v>11</v>
      </c>
      <c r="D154" s="50"/>
      <c r="E154" s="50"/>
      <c r="F154" s="50"/>
      <c r="G154" s="50"/>
      <c r="H154" s="50"/>
      <c r="I154" s="50"/>
      <c r="J154" s="50"/>
      <c r="K154" s="35" t="n">
        <f aca="false">COUNTA(D154:J154)</f>
        <v>0</v>
      </c>
      <c r="L154" s="34" t="n">
        <f aca="false">SUM(K154:K156)</f>
        <v>2</v>
      </c>
    </row>
    <row r="155" customFormat="false" ht="15" hidden="false" customHeight="false" outlineLevel="0" collapsed="false">
      <c r="B155" s="48"/>
      <c r="C155" s="49" t="s">
        <v>18</v>
      </c>
      <c r="D155" s="50"/>
      <c r="E155" s="50"/>
      <c r="F155" s="50"/>
      <c r="G155" s="50"/>
      <c r="H155" s="50"/>
      <c r="I155" s="50"/>
      <c r="J155" s="50"/>
      <c r="K155" s="35" t="n">
        <f aca="false">COUNTA(D155:J155)</f>
        <v>0</v>
      </c>
      <c r="L155" s="34"/>
    </row>
    <row r="156" customFormat="false" ht="15" hidden="false" customHeight="false" outlineLevel="0" collapsed="false">
      <c r="B156" s="48"/>
      <c r="C156" s="49" t="s">
        <v>23</v>
      </c>
      <c r="D156" s="50"/>
      <c r="E156" s="50" t="s">
        <v>126</v>
      </c>
      <c r="F156" s="50"/>
      <c r="G156" s="50"/>
      <c r="H156" s="50"/>
      <c r="I156" s="50" t="s">
        <v>126</v>
      </c>
      <c r="J156" s="50"/>
      <c r="K156" s="35" t="n">
        <f aca="false">COUNTA(D156:J156)</f>
        <v>2</v>
      </c>
      <c r="L156" s="34"/>
    </row>
    <row r="157" customFormat="false" ht="15" hidden="false" customHeight="false" outlineLevel="0" collapsed="false">
      <c r="B157" s="48" t="s">
        <v>58</v>
      </c>
      <c r="C157" s="49" t="s">
        <v>11</v>
      </c>
      <c r="D157" s="50"/>
      <c r="E157" s="50"/>
      <c r="F157" s="50"/>
      <c r="G157" s="50"/>
      <c r="H157" s="50"/>
      <c r="I157" s="50"/>
      <c r="J157" s="50"/>
      <c r="K157" s="35" t="n">
        <f aca="false">COUNTA(D157:J157)</f>
        <v>0</v>
      </c>
      <c r="L157" s="34" t="n">
        <f aca="false">SUM(K157:K159)</f>
        <v>6</v>
      </c>
    </row>
    <row r="158" customFormat="false" ht="15" hidden="false" customHeight="false" outlineLevel="0" collapsed="false">
      <c r="B158" s="48"/>
      <c r="C158" s="49" t="s">
        <v>18</v>
      </c>
      <c r="D158" s="50"/>
      <c r="E158" s="50"/>
      <c r="F158" s="50"/>
      <c r="G158" s="50"/>
      <c r="H158" s="50"/>
      <c r="I158" s="50"/>
      <c r="J158" s="50"/>
      <c r="K158" s="35" t="n">
        <f aca="false">COUNTA(D158:J158)</f>
        <v>0</v>
      </c>
      <c r="L158" s="34"/>
    </row>
    <row r="159" customFormat="false" ht="15" hidden="false" customHeight="false" outlineLevel="0" collapsed="false">
      <c r="B159" s="48"/>
      <c r="C159" s="49" t="s">
        <v>23</v>
      </c>
      <c r="D159" s="50" t="s">
        <v>126</v>
      </c>
      <c r="E159" s="50" t="s">
        <v>126</v>
      </c>
      <c r="F159" s="50" t="s">
        <v>126</v>
      </c>
      <c r="G159" s="50" t="s">
        <v>126</v>
      </c>
      <c r="H159" s="50" t="s">
        <v>126</v>
      </c>
      <c r="I159" s="50" t="s">
        <v>126</v>
      </c>
      <c r="J159" s="50"/>
      <c r="K159" s="35" t="n">
        <f aca="false">COUNTA(D159:J159)</f>
        <v>6</v>
      </c>
      <c r="L159" s="34"/>
    </row>
    <row r="160" customFormat="false" ht="15" hidden="false" customHeight="false" outlineLevel="0" collapsed="false">
      <c r="B160" s="48" t="s">
        <v>61</v>
      </c>
      <c r="C160" s="49" t="s">
        <v>11</v>
      </c>
      <c r="D160" s="50"/>
      <c r="E160" s="50"/>
      <c r="F160" s="50"/>
      <c r="G160" s="50"/>
      <c r="H160" s="50"/>
      <c r="I160" s="50"/>
      <c r="J160" s="50"/>
      <c r="K160" s="35" t="n">
        <f aca="false">COUNTA(D160:J160)</f>
        <v>0</v>
      </c>
      <c r="L160" s="34" t="n">
        <f aca="false">SUM(K160:K162)</f>
        <v>2</v>
      </c>
    </row>
    <row r="161" customFormat="false" ht="15" hidden="false" customHeight="false" outlineLevel="0" collapsed="false">
      <c r="B161" s="48"/>
      <c r="C161" s="49" t="s">
        <v>18</v>
      </c>
      <c r="D161" s="50"/>
      <c r="E161" s="50"/>
      <c r="F161" s="50"/>
      <c r="G161" s="50"/>
      <c r="H161" s="50"/>
      <c r="I161" s="50"/>
      <c r="J161" s="50"/>
      <c r="K161" s="35" t="n">
        <f aca="false">COUNTA(D161:J161)</f>
        <v>0</v>
      </c>
      <c r="L161" s="34"/>
    </row>
    <row r="162" customFormat="false" ht="15" hidden="false" customHeight="false" outlineLevel="0" collapsed="false">
      <c r="B162" s="48"/>
      <c r="C162" s="49" t="s">
        <v>23</v>
      </c>
      <c r="D162" s="50"/>
      <c r="E162" s="50"/>
      <c r="F162" s="50" t="s">
        <v>126</v>
      </c>
      <c r="G162" s="50"/>
      <c r="H162" s="50"/>
      <c r="I162" s="50"/>
      <c r="J162" s="50" t="s">
        <v>126</v>
      </c>
      <c r="K162" s="35" t="n">
        <f aca="false">COUNTA(D162:J162)</f>
        <v>2</v>
      </c>
      <c r="L162" s="34"/>
    </row>
    <row r="164" customFormat="false" ht="19.5" hidden="false" customHeight="true" outlineLevel="0" collapsed="false">
      <c r="B164" s="41" t="str">
        <f aca="false">"TABLEAU 4/12  -  PROGRAMME DE JUILLET 2027"&amp;IF($C$4="juillet 2027","          &lt;&lt;&lt; MOIS ACTUELLEMENT FILTRE","")</f>
        <v>TABLEAU 4/12  -  PROGRAMME DE JUILLET 2027</v>
      </c>
      <c r="C164" s="41"/>
      <c r="D164" s="41"/>
      <c r="E164" s="41"/>
      <c r="F164" s="41"/>
      <c r="G164" s="41"/>
      <c r="H164" s="41"/>
      <c r="I164" s="41"/>
      <c r="J164" s="41"/>
      <c r="K164" s="46" t="s">
        <v>120</v>
      </c>
    </row>
    <row r="165" customFormat="false" ht="25.5" hidden="false" customHeight="true" outlineLevel="0" collapsed="false">
      <c r="B165" s="47" t="s">
        <v>82</v>
      </c>
      <c r="C165" s="47" t="s">
        <v>122</v>
      </c>
      <c r="D165" s="47" t="s">
        <v>26</v>
      </c>
      <c r="E165" s="47" t="s">
        <v>27</v>
      </c>
      <c r="F165" s="47" t="s">
        <v>28</v>
      </c>
      <c r="G165" s="47" t="s">
        <v>29</v>
      </c>
      <c r="H165" s="47" t="s">
        <v>30</v>
      </c>
      <c r="I165" s="47" t="s">
        <v>31</v>
      </c>
      <c r="J165" s="47" t="s">
        <v>32</v>
      </c>
      <c r="K165" s="47" t="s">
        <v>123</v>
      </c>
      <c r="L165" s="47" t="s">
        <v>124</v>
      </c>
    </row>
    <row r="166" customFormat="false" ht="15" hidden="false" customHeight="false" outlineLevel="0" collapsed="false">
      <c r="B166" s="48" t="s">
        <v>12</v>
      </c>
      <c r="C166" s="49" t="s">
        <v>11</v>
      </c>
      <c r="D166" s="50" t="s">
        <v>126</v>
      </c>
      <c r="E166" s="50" t="s">
        <v>126</v>
      </c>
      <c r="F166" s="50" t="s">
        <v>126</v>
      </c>
      <c r="G166" s="50" t="s">
        <v>126</v>
      </c>
      <c r="H166" s="50" t="s">
        <v>126</v>
      </c>
      <c r="I166" s="50" t="s">
        <v>126</v>
      </c>
      <c r="J166" s="50" t="s">
        <v>126</v>
      </c>
      <c r="K166" s="35" t="n">
        <f aca="false">COUNTA(D166:J166)</f>
        <v>7</v>
      </c>
      <c r="L166" s="34" t="n">
        <f aca="false">SUM(K166:K168)</f>
        <v>10</v>
      </c>
    </row>
    <row r="167" customFormat="false" ht="15" hidden="false" customHeight="false" outlineLevel="0" collapsed="false">
      <c r="B167" s="48"/>
      <c r="C167" s="49" t="s">
        <v>18</v>
      </c>
      <c r="D167" s="50" t="s">
        <v>126</v>
      </c>
      <c r="E167" s="50"/>
      <c r="F167" s="50"/>
      <c r="G167" s="50"/>
      <c r="H167" s="50" t="s">
        <v>126</v>
      </c>
      <c r="I167" s="50"/>
      <c r="J167" s="50"/>
      <c r="K167" s="35" t="n">
        <f aca="false">COUNTA(D167:J167)</f>
        <v>2</v>
      </c>
      <c r="L167" s="34"/>
    </row>
    <row r="168" customFormat="false" ht="15" hidden="false" customHeight="false" outlineLevel="0" collapsed="false">
      <c r="B168" s="48"/>
      <c r="C168" s="49" t="s">
        <v>23</v>
      </c>
      <c r="D168" s="50" t="s">
        <v>126</v>
      </c>
      <c r="E168" s="50"/>
      <c r="F168" s="50"/>
      <c r="G168" s="50"/>
      <c r="H168" s="50"/>
      <c r="I168" s="50"/>
      <c r="J168" s="50"/>
      <c r="K168" s="35" t="n">
        <f aca="false">COUNTA(D168:J168)</f>
        <v>1</v>
      </c>
      <c r="L168" s="34"/>
    </row>
    <row r="169" customFormat="false" ht="15" hidden="false" customHeight="false" outlineLevel="0" collapsed="false">
      <c r="B169" s="48" t="s">
        <v>19</v>
      </c>
      <c r="C169" s="49" t="s">
        <v>11</v>
      </c>
      <c r="D169" s="50"/>
      <c r="E169" s="50"/>
      <c r="F169" s="50"/>
      <c r="G169" s="50"/>
      <c r="H169" s="50"/>
      <c r="I169" s="50"/>
      <c r="J169" s="50" t="s">
        <v>126</v>
      </c>
      <c r="K169" s="35" t="n">
        <f aca="false">COUNTA(D169:J169)</f>
        <v>1</v>
      </c>
      <c r="L169" s="34" t="n">
        <f aca="false">SUM(K169:K171)</f>
        <v>3</v>
      </c>
    </row>
    <row r="170" customFormat="false" ht="15" hidden="false" customHeight="false" outlineLevel="0" collapsed="false">
      <c r="B170" s="48"/>
      <c r="C170" s="49" t="s">
        <v>18</v>
      </c>
      <c r="D170" s="50"/>
      <c r="E170" s="50" t="s">
        <v>126</v>
      </c>
      <c r="F170" s="50"/>
      <c r="G170" s="50"/>
      <c r="H170" s="50" t="s">
        <v>126</v>
      </c>
      <c r="I170" s="50"/>
      <c r="J170" s="50"/>
      <c r="K170" s="35" t="n">
        <f aca="false">COUNTA(D170:J170)</f>
        <v>2</v>
      </c>
      <c r="L170" s="34"/>
    </row>
    <row r="171" customFormat="false" ht="15" hidden="false" customHeight="false" outlineLevel="0" collapsed="false">
      <c r="B171" s="48"/>
      <c r="C171" s="49" t="s">
        <v>23</v>
      </c>
      <c r="D171" s="50"/>
      <c r="E171" s="50"/>
      <c r="F171" s="50"/>
      <c r="G171" s="50"/>
      <c r="H171" s="50"/>
      <c r="I171" s="50"/>
      <c r="J171" s="50"/>
      <c r="K171" s="35" t="n">
        <f aca="false">COUNTA(D171:J171)</f>
        <v>0</v>
      </c>
      <c r="L171" s="34"/>
    </row>
    <row r="172" customFormat="false" ht="15" hidden="false" customHeight="false" outlineLevel="0" collapsed="false">
      <c r="B172" s="48" t="s">
        <v>24</v>
      </c>
      <c r="C172" s="49" t="s">
        <v>11</v>
      </c>
      <c r="D172" s="50"/>
      <c r="E172" s="50"/>
      <c r="F172" s="50"/>
      <c r="G172" s="50"/>
      <c r="H172" s="50"/>
      <c r="I172" s="50"/>
      <c r="J172" s="50"/>
      <c r="K172" s="35" t="n">
        <f aca="false">COUNTA(D172:J172)</f>
        <v>0</v>
      </c>
      <c r="L172" s="34" t="n">
        <f aca="false">SUM(K172:K174)</f>
        <v>2</v>
      </c>
    </row>
    <row r="173" customFormat="false" ht="15" hidden="false" customHeight="false" outlineLevel="0" collapsed="false">
      <c r="B173" s="48"/>
      <c r="C173" s="49" t="s">
        <v>18</v>
      </c>
      <c r="D173" s="50"/>
      <c r="E173" s="50"/>
      <c r="F173" s="50" t="s">
        <v>126</v>
      </c>
      <c r="G173" s="50"/>
      <c r="H173" s="50"/>
      <c r="I173" s="50" t="s">
        <v>126</v>
      </c>
      <c r="J173" s="50"/>
      <c r="K173" s="35" t="n">
        <f aca="false">COUNTA(D173:J173)</f>
        <v>2</v>
      </c>
      <c r="L173" s="34"/>
    </row>
    <row r="174" customFormat="false" ht="15" hidden="false" customHeight="false" outlineLevel="0" collapsed="false">
      <c r="B174" s="48"/>
      <c r="C174" s="49" t="s">
        <v>23</v>
      </c>
      <c r="D174" s="50"/>
      <c r="E174" s="50"/>
      <c r="F174" s="50"/>
      <c r="G174" s="50"/>
      <c r="H174" s="50"/>
      <c r="I174" s="50"/>
      <c r="J174" s="50"/>
      <c r="K174" s="35" t="n">
        <f aca="false">COUNTA(D174:J174)</f>
        <v>0</v>
      </c>
      <c r="L174" s="34"/>
    </row>
    <row r="175" customFormat="false" ht="15" hidden="false" customHeight="false" outlineLevel="0" collapsed="false">
      <c r="B175" s="48" t="s">
        <v>35</v>
      </c>
      <c r="C175" s="49" t="s">
        <v>11</v>
      </c>
      <c r="D175" s="50"/>
      <c r="E175" s="50"/>
      <c r="F175" s="50"/>
      <c r="G175" s="50"/>
      <c r="H175" s="50"/>
      <c r="I175" s="50"/>
      <c r="J175" s="50"/>
      <c r="K175" s="35" t="n">
        <f aca="false">COUNTA(D175:J175)</f>
        <v>0</v>
      </c>
      <c r="L175" s="34" t="n">
        <f aca="false">SUM(K175:K177)</f>
        <v>6</v>
      </c>
    </row>
    <row r="176" customFormat="false" ht="15" hidden="false" customHeight="false" outlineLevel="0" collapsed="false">
      <c r="B176" s="48"/>
      <c r="C176" s="49" t="s">
        <v>18</v>
      </c>
      <c r="D176" s="50"/>
      <c r="E176" s="50"/>
      <c r="F176" s="50" t="s">
        <v>126</v>
      </c>
      <c r="G176" s="50"/>
      <c r="H176" s="50"/>
      <c r="I176" s="50"/>
      <c r="J176" s="50"/>
      <c r="K176" s="35" t="n">
        <f aca="false">COUNTA(D176:J176)</f>
        <v>1</v>
      </c>
      <c r="L176" s="34"/>
    </row>
    <row r="177" customFormat="false" ht="15" hidden="false" customHeight="false" outlineLevel="0" collapsed="false">
      <c r="B177" s="48"/>
      <c r="C177" s="49" t="s">
        <v>23</v>
      </c>
      <c r="D177" s="50" t="s">
        <v>126</v>
      </c>
      <c r="E177" s="50" t="s">
        <v>126</v>
      </c>
      <c r="F177" s="50" t="s">
        <v>126</v>
      </c>
      <c r="G177" s="50" t="s">
        <v>126</v>
      </c>
      <c r="H177" s="50" t="s">
        <v>126</v>
      </c>
      <c r="I177" s="50"/>
      <c r="J177" s="50"/>
      <c r="K177" s="35" t="n">
        <f aca="false">COUNTA(D177:J177)</f>
        <v>5</v>
      </c>
      <c r="L177" s="34"/>
    </row>
    <row r="178" customFormat="false" ht="15" hidden="false" customHeight="false" outlineLevel="0" collapsed="false">
      <c r="B178" s="48" t="s">
        <v>39</v>
      </c>
      <c r="C178" s="49" t="s">
        <v>11</v>
      </c>
      <c r="D178" s="50"/>
      <c r="E178" s="50"/>
      <c r="F178" s="50"/>
      <c r="G178" s="50"/>
      <c r="H178" s="50"/>
      <c r="I178" s="50"/>
      <c r="J178" s="50"/>
      <c r="K178" s="35" t="n">
        <f aca="false">COUNTA(D178:J178)</f>
        <v>0</v>
      </c>
      <c r="L178" s="34" t="n">
        <f aca="false">SUM(K178:K180)</f>
        <v>4</v>
      </c>
    </row>
    <row r="179" customFormat="false" ht="15" hidden="false" customHeight="false" outlineLevel="0" collapsed="false">
      <c r="B179" s="48"/>
      <c r="C179" s="49" t="s">
        <v>18</v>
      </c>
      <c r="D179" s="50"/>
      <c r="E179" s="50"/>
      <c r="F179" s="50"/>
      <c r="G179" s="50"/>
      <c r="H179" s="50"/>
      <c r="I179" s="50"/>
      <c r="J179" s="50"/>
      <c r="K179" s="35" t="n">
        <f aca="false">COUNTA(D179:J179)</f>
        <v>0</v>
      </c>
      <c r="L179" s="34"/>
    </row>
    <row r="180" customFormat="false" ht="15" hidden="false" customHeight="false" outlineLevel="0" collapsed="false">
      <c r="B180" s="48"/>
      <c r="C180" s="49" t="s">
        <v>23</v>
      </c>
      <c r="D180" s="50" t="s">
        <v>126</v>
      </c>
      <c r="E180" s="50"/>
      <c r="F180" s="50" t="s">
        <v>126</v>
      </c>
      <c r="G180" s="50"/>
      <c r="H180" s="50" t="s">
        <v>126</v>
      </c>
      <c r="I180" s="50"/>
      <c r="J180" s="50" t="s">
        <v>126</v>
      </c>
      <c r="K180" s="35" t="n">
        <f aca="false">COUNTA(D180:J180)</f>
        <v>4</v>
      </c>
      <c r="L180" s="34"/>
    </row>
    <row r="181" customFormat="false" ht="15" hidden="false" customHeight="false" outlineLevel="0" collapsed="false">
      <c r="B181" s="48" t="s">
        <v>14</v>
      </c>
      <c r="C181" s="49" t="s">
        <v>11</v>
      </c>
      <c r="D181" s="50"/>
      <c r="E181" s="50"/>
      <c r="F181" s="50"/>
      <c r="G181" s="50"/>
      <c r="H181" s="50"/>
      <c r="I181" s="50"/>
      <c r="J181" s="50"/>
      <c r="K181" s="35" t="n">
        <f aca="false">COUNTA(D181:J181)</f>
        <v>0</v>
      </c>
      <c r="L181" s="34" t="n">
        <f aca="false">SUM(K181:K183)</f>
        <v>4</v>
      </c>
    </row>
    <row r="182" customFormat="false" ht="15" hidden="false" customHeight="false" outlineLevel="0" collapsed="false">
      <c r="B182" s="48"/>
      <c r="C182" s="49" t="s">
        <v>18</v>
      </c>
      <c r="D182" s="50"/>
      <c r="E182" s="50"/>
      <c r="F182" s="50"/>
      <c r="G182" s="50"/>
      <c r="H182" s="50"/>
      <c r="I182" s="50"/>
      <c r="J182" s="50"/>
      <c r="K182" s="35" t="n">
        <f aca="false">COUNTA(D182:J182)</f>
        <v>0</v>
      </c>
      <c r="L182" s="34"/>
    </row>
    <row r="183" customFormat="false" ht="15" hidden="false" customHeight="false" outlineLevel="0" collapsed="false">
      <c r="B183" s="48"/>
      <c r="C183" s="49" t="s">
        <v>23</v>
      </c>
      <c r="D183" s="50" t="s">
        <v>126</v>
      </c>
      <c r="E183" s="50"/>
      <c r="F183" s="50" t="s">
        <v>126</v>
      </c>
      <c r="G183" s="50" t="s">
        <v>126</v>
      </c>
      <c r="H183" s="50"/>
      <c r="I183" s="50" t="s">
        <v>126</v>
      </c>
      <c r="J183" s="50"/>
      <c r="K183" s="35" t="n">
        <f aca="false">COUNTA(D183:J183)</f>
        <v>4</v>
      </c>
      <c r="L183" s="34"/>
    </row>
    <row r="184" customFormat="false" ht="15" hidden="false" customHeight="false" outlineLevel="0" collapsed="false">
      <c r="B184" s="48" t="s">
        <v>45</v>
      </c>
      <c r="C184" s="49" t="s">
        <v>11</v>
      </c>
      <c r="D184" s="50"/>
      <c r="E184" s="50"/>
      <c r="F184" s="50"/>
      <c r="G184" s="50"/>
      <c r="H184" s="50"/>
      <c r="I184" s="50"/>
      <c r="J184" s="50"/>
      <c r="K184" s="35" t="n">
        <f aca="false">COUNTA(D184:J184)</f>
        <v>0</v>
      </c>
      <c r="L184" s="34" t="n">
        <f aca="false">SUM(K184:K186)</f>
        <v>3</v>
      </c>
    </row>
    <row r="185" customFormat="false" ht="15" hidden="false" customHeight="false" outlineLevel="0" collapsed="false">
      <c r="B185" s="48"/>
      <c r="C185" s="49" t="s">
        <v>18</v>
      </c>
      <c r="D185" s="50"/>
      <c r="E185" s="50"/>
      <c r="F185" s="50"/>
      <c r="G185" s="50"/>
      <c r="H185" s="50"/>
      <c r="I185" s="50"/>
      <c r="J185" s="50"/>
      <c r="K185" s="35" t="n">
        <f aca="false">COUNTA(D185:J185)</f>
        <v>0</v>
      </c>
      <c r="L185" s="34"/>
    </row>
    <row r="186" customFormat="false" ht="15" hidden="false" customHeight="false" outlineLevel="0" collapsed="false">
      <c r="B186" s="48"/>
      <c r="C186" s="49" t="s">
        <v>23</v>
      </c>
      <c r="D186" s="50"/>
      <c r="E186" s="50" t="s">
        <v>126</v>
      </c>
      <c r="F186" s="50"/>
      <c r="G186" s="50" t="s">
        <v>126</v>
      </c>
      <c r="H186" s="50"/>
      <c r="I186" s="50" t="s">
        <v>126</v>
      </c>
      <c r="J186" s="50"/>
      <c r="K186" s="35" t="n">
        <f aca="false">COUNTA(D186:J186)</f>
        <v>3</v>
      </c>
      <c r="L186" s="34"/>
    </row>
    <row r="187" customFormat="false" ht="15" hidden="false" customHeight="false" outlineLevel="0" collapsed="false">
      <c r="B187" s="48" t="s">
        <v>48</v>
      </c>
      <c r="C187" s="49" t="s">
        <v>11</v>
      </c>
      <c r="D187" s="50"/>
      <c r="E187" s="50"/>
      <c r="F187" s="50"/>
      <c r="G187" s="50"/>
      <c r="H187" s="50"/>
      <c r="I187" s="50"/>
      <c r="J187" s="50"/>
      <c r="K187" s="35" t="n">
        <f aca="false">COUNTA(D187:J187)</f>
        <v>0</v>
      </c>
      <c r="L187" s="34" t="n">
        <f aca="false">SUM(K187:K189)</f>
        <v>2</v>
      </c>
    </row>
    <row r="188" customFormat="false" ht="15" hidden="false" customHeight="false" outlineLevel="0" collapsed="false">
      <c r="B188" s="48"/>
      <c r="C188" s="49" t="s">
        <v>18</v>
      </c>
      <c r="D188" s="50" t="s">
        <v>126</v>
      </c>
      <c r="E188" s="50"/>
      <c r="F188" s="50"/>
      <c r="G188" s="50"/>
      <c r="H188" s="50" t="s">
        <v>126</v>
      </c>
      <c r="I188" s="50"/>
      <c r="J188" s="50"/>
      <c r="K188" s="35" t="n">
        <f aca="false">COUNTA(D188:J188)</f>
        <v>2</v>
      </c>
      <c r="L188" s="34"/>
    </row>
    <row r="189" customFormat="false" ht="15" hidden="false" customHeight="false" outlineLevel="0" collapsed="false">
      <c r="B189" s="48"/>
      <c r="C189" s="49" t="s">
        <v>23</v>
      </c>
      <c r="D189" s="50"/>
      <c r="E189" s="50"/>
      <c r="F189" s="50"/>
      <c r="G189" s="50"/>
      <c r="H189" s="50"/>
      <c r="I189" s="50"/>
      <c r="J189" s="50"/>
      <c r="K189" s="35" t="n">
        <f aca="false">COUNTA(D189:J189)</f>
        <v>0</v>
      </c>
      <c r="L189" s="34"/>
    </row>
    <row r="190" customFormat="false" ht="15" hidden="false" customHeight="false" outlineLevel="0" collapsed="false">
      <c r="B190" s="48" t="s">
        <v>52</v>
      </c>
      <c r="C190" s="49" t="s">
        <v>11</v>
      </c>
      <c r="D190" s="50"/>
      <c r="E190" s="50"/>
      <c r="F190" s="50"/>
      <c r="G190" s="50"/>
      <c r="H190" s="50"/>
      <c r="I190" s="50"/>
      <c r="J190" s="50"/>
      <c r="K190" s="35" t="n">
        <f aca="false">COUNTA(D190:J190)</f>
        <v>0</v>
      </c>
      <c r="L190" s="34" t="n">
        <f aca="false">SUM(K190:K192)</f>
        <v>1</v>
      </c>
    </row>
    <row r="191" customFormat="false" ht="15" hidden="false" customHeight="false" outlineLevel="0" collapsed="false">
      <c r="B191" s="48"/>
      <c r="C191" s="49" t="s">
        <v>18</v>
      </c>
      <c r="D191" s="50"/>
      <c r="E191" s="50"/>
      <c r="F191" s="50"/>
      <c r="G191" s="50" t="s">
        <v>126</v>
      </c>
      <c r="H191" s="50"/>
      <c r="I191" s="50"/>
      <c r="J191" s="50"/>
      <c r="K191" s="35" t="n">
        <f aca="false">COUNTA(D191:J191)</f>
        <v>1</v>
      </c>
      <c r="L191" s="34"/>
    </row>
    <row r="192" customFormat="false" ht="15" hidden="false" customHeight="false" outlineLevel="0" collapsed="false">
      <c r="B192" s="48"/>
      <c r="C192" s="49" t="s">
        <v>23</v>
      </c>
      <c r="D192" s="50"/>
      <c r="E192" s="50"/>
      <c r="F192" s="50"/>
      <c r="G192" s="50"/>
      <c r="H192" s="50"/>
      <c r="I192" s="50"/>
      <c r="J192" s="50"/>
      <c r="K192" s="35" t="n">
        <f aca="false">COUNTA(D192:J192)</f>
        <v>0</v>
      </c>
      <c r="L192" s="34"/>
    </row>
    <row r="193" customFormat="false" ht="15" hidden="false" customHeight="false" outlineLevel="0" collapsed="false">
      <c r="B193" s="48" t="s">
        <v>55</v>
      </c>
      <c r="C193" s="49" t="s">
        <v>11</v>
      </c>
      <c r="D193" s="50"/>
      <c r="E193" s="50"/>
      <c r="F193" s="50"/>
      <c r="G193" s="50"/>
      <c r="H193" s="50"/>
      <c r="I193" s="50"/>
      <c r="J193" s="50"/>
      <c r="K193" s="35" t="n">
        <f aca="false">COUNTA(D193:J193)</f>
        <v>0</v>
      </c>
      <c r="L193" s="34" t="n">
        <f aca="false">SUM(K193:K195)</f>
        <v>2</v>
      </c>
    </row>
    <row r="194" customFormat="false" ht="15" hidden="false" customHeight="false" outlineLevel="0" collapsed="false">
      <c r="B194" s="48"/>
      <c r="C194" s="49" t="s">
        <v>18</v>
      </c>
      <c r="D194" s="50"/>
      <c r="E194" s="50"/>
      <c r="F194" s="50"/>
      <c r="G194" s="50"/>
      <c r="H194" s="50"/>
      <c r="I194" s="50"/>
      <c r="J194" s="50"/>
      <c r="K194" s="35" t="n">
        <f aca="false">COUNTA(D194:J194)</f>
        <v>0</v>
      </c>
      <c r="L194" s="34"/>
    </row>
    <row r="195" customFormat="false" ht="15" hidden="false" customHeight="false" outlineLevel="0" collapsed="false">
      <c r="B195" s="48"/>
      <c r="C195" s="49" t="s">
        <v>23</v>
      </c>
      <c r="D195" s="50"/>
      <c r="E195" s="50" t="s">
        <v>126</v>
      </c>
      <c r="F195" s="50"/>
      <c r="G195" s="50"/>
      <c r="H195" s="50"/>
      <c r="I195" s="50" t="s">
        <v>126</v>
      </c>
      <c r="J195" s="50"/>
      <c r="K195" s="35" t="n">
        <f aca="false">COUNTA(D195:J195)</f>
        <v>2</v>
      </c>
      <c r="L195" s="34"/>
    </row>
    <row r="196" customFormat="false" ht="15" hidden="false" customHeight="false" outlineLevel="0" collapsed="false">
      <c r="B196" s="48" t="s">
        <v>58</v>
      </c>
      <c r="C196" s="49" t="s">
        <v>11</v>
      </c>
      <c r="D196" s="50"/>
      <c r="E196" s="50"/>
      <c r="F196" s="50"/>
      <c r="G196" s="50"/>
      <c r="H196" s="50"/>
      <c r="I196" s="50"/>
      <c r="J196" s="50"/>
      <c r="K196" s="35" t="n">
        <f aca="false">COUNTA(D196:J196)</f>
        <v>0</v>
      </c>
      <c r="L196" s="34" t="n">
        <f aca="false">SUM(K196:K198)</f>
        <v>6</v>
      </c>
    </row>
    <row r="197" customFormat="false" ht="15" hidden="false" customHeight="false" outlineLevel="0" collapsed="false">
      <c r="B197" s="48"/>
      <c r="C197" s="49" t="s">
        <v>18</v>
      </c>
      <c r="D197" s="50"/>
      <c r="E197" s="50"/>
      <c r="F197" s="50"/>
      <c r="G197" s="50"/>
      <c r="H197" s="50"/>
      <c r="I197" s="50"/>
      <c r="J197" s="50"/>
      <c r="K197" s="35" t="n">
        <f aca="false">COUNTA(D197:J197)</f>
        <v>0</v>
      </c>
      <c r="L197" s="34"/>
    </row>
    <row r="198" customFormat="false" ht="15" hidden="false" customHeight="false" outlineLevel="0" collapsed="false">
      <c r="B198" s="48"/>
      <c r="C198" s="49" t="s">
        <v>23</v>
      </c>
      <c r="D198" s="50" t="s">
        <v>126</v>
      </c>
      <c r="E198" s="50" t="s">
        <v>126</v>
      </c>
      <c r="F198" s="50" t="s">
        <v>126</v>
      </c>
      <c r="G198" s="50" t="s">
        <v>126</v>
      </c>
      <c r="H198" s="50" t="s">
        <v>126</v>
      </c>
      <c r="I198" s="50" t="s">
        <v>126</v>
      </c>
      <c r="J198" s="50"/>
      <c r="K198" s="35" t="n">
        <f aca="false">COUNTA(D198:J198)</f>
        <v>6</v>
      </c>
      <c r="L198" s="34"/>
    </row>
    <row r="199" customFormat="false" ht="15" hidden="false" customHeight="false" outlineLevel="0" collapsed="false">
      <c r="B199" s="48" t="s">
        <v>61</v>
      </c>
      <c r="C199" s="49" t="s">
        <v>11</v>
      </c>
      <c r="D199" s="50"/>
      <c r="E199" s="50"/>
      <c r="F199" s="50"/>
      <c r="G199" s="50"/>
      <c r="H199" s="50"/>
      <c r="I199" s="50"/>
      <c r="J199" s="50"/>
      <c r="K199" s="35" t="n">
        <f aca="false">COUNTA(D199:J199)</f>
        <v>0</v>
      </c>
      <c r="L199" s="34" t="n">
        <f aca="false">SUM(K199:K201)</f>
        <v>2</v>
      </c>
    </row>
    <row r="200" customFormat="false" ht="15" hidden="false" customHeight="false" outlineLevel="0" collapsed="false">
      <c r="B200" s="48"/>
      <c r="C200" s="49" t="s">
        <v>18</v>
      </c>
      <c r="D200" s="50"/>
      <c r="E200" s="50"/>
      <c r="F200" s="50"/>
      <c r="G200" s="50"/>
      <c r="H200" s="50"/>
      <c r="I200" s="50"/>
      <c r="J200" s="50"/>
      <c r="K200" s="35" t="n">
        <f aca="false">COUNTA(D200:J200)</f>
        <v>0</v>
      </c>
      <c r="L200" s="34"/>
    </row>
    <row r="201" customFormat="false" ht="15" hidden="false" customHeight="false" outlineLevel="0" collapsed="false">
      <c r="B201" s="48"/>
      <c r="C201" s="49" t="s">
        <v>23</v>
      </c>
      <c r="D201" s="50"/>
      <c r="E201" s="50"/>
      <c r="F201" s="50" t="s">
        <v>126</v>
      </c>
      <c r="G201" s="50"/>
      <c r="H201" s="50"/>
      <c r="I201" s="50"/>
      <c r="J201" s="50" t="s">
        <v>126</v>
      </c>
      <c r="K201" s="35" t="n">
        <f aca="false">COUNTA(D201:J201)</f>
        <v>2</v>
      </c>
      <c r="L201" s="34"/>
    </row>
    <row r="203" customFormat="false" ht="19.5" hidden="false" customHeight="true" outlineLevel="0" collapsed="false">
      <c r="B203" s="41" t="str">
        <f aca="false">"TABLEAU 5/12  -  PROGRAMME DE AOUT 2027"&amp;IF($C$4="aout 2027","          &lt;&lt;&lt; MOIS ACTUELLEMENT FILTRE","")</f>
        <v>TABLEAU 5/12  -  PROGRAMME DE AOUT 2027</v>
      </c>
      <c r="C203" s="41"/>
      <c r="D203" s="41"/>
      <c r="E203" s="41"/>
      <c r="F203" s="41"/>
      <c r="G203" s="41"/>
      <c r="H203" s="41"/>
      <c r="I203" s="41"/>
      <c r="J203" s="41"/>
      <c r="K203" s="46" t="s">
        <v>120</v>
      </c>
    </row>
    <row r="204" customFormat="false" ht="25.5" hidden="false" customHeight="true" outlineLevel="0" collapsed="false">
      <c r="B204" s="47" t="s">
        <v>82</v>
      </c>
      <c r="C204" s="47" t="s">
        <v>122</v>
      </c>
      <c r="D204" s="47" t="s">
        <v>26</v>
      </c>
      <c r="E204" s="47" t="s">
        <v>27</v>
      </c>
      <c r="F204" s="47" t="s">
        <v>28</v>
      </c>
      <c r="G204" s="47" t="s">
        <v>29</v>
      </c>
      <c r="H204" s="47" t="s">
        <v>30</v>
      </c>
      <c r="I204" s="47" t="s">
        <v>31</v>
      </c>
      <c r="J204" s="47" t="s">
        <v>32</v>
      </c>
      <c r="K204" s="47" t="s">
        <v>123</v>
      </c>
      <c r="L204" s="47" t="s">
        <v>124</v>
      </c>
    </row>
    <row r="205" customFormat="false" ht="15" hidden="false" customHeight="false" outlineLevel="0" collapsed="false">
      <c r="B205" s="48" t="s">
        <v>12</v>
      </c>
      <c r="C205" s="49" t="s">
        <v>11</v>
      </c>
      <c r="D205" s="50" t="s">
        <v>126</v>
      </c>
      <c r="E205" s="50" t="s">
        <v>126</v>
      </c>
      <c r="F205" s="50" t="s">
        <v>126</v>
      </c>
      <c r="G205" s="50" t="s">
        <v>126</v>
      </c>
      <c r="H205" s="50" t="s">
        <v>126</v>
      </c>
      <c r="I205" s="50" t="s">
        <v>126</v>
      </c>
      <c r="J205" s="50" t="s">
        <v>126</v>
      </c>
      <c r="K205" s="35" t="n">
        <f aca="false">COUNTA(D205:J205)</f>
        <v>7</v>
      </c>
      <c r="L205" s="34" t="n">
        <f aca="false">SUM(K205:K207)</f>
        <v>14</v>
      </c>
    </row>
    <row r="206" customFormat="false" ht="15" hidden="false" customHeight="false" outlineLevel="0" collapsed="false">
      <c r="B206" s="48"/>
      <c r="C206" s="49" t="s">
        <v>18</v>
      </c>
      <c r="D206" s="50" t="s">
        <v>126</v>
      </c>
      <c r="E206" s="50" t="s">
        <v>126</v>
      </c>
      <c r="F206" s="50" t="s">
        <v>126</v>
      </c>
      <c r="G206" s="50" t="s">
        <v>126</v>
      </c>
      <c r="H206" s="50" t="s">
        <v>126</v>
      </c>
      <c r="I206" s="50" t="s">
        <v>126</v>
      </c>
      <c r="J206" s="50" t="s">
        <v>126</v>
      </c>
      <c r="K206" s="35" t="n">
        <f aca="false">COUNTA(D206:J206)</f>
        <v>7</v>
      </c>
      <c r="L206" s="34"/>
    </row>
    <row r="207" customFormat="false" ht="15" hidden="false" customHeight="false" outlineLevel="0" collapsed="false">
      <c r="B207" s="48"/>
      <c r="C207" s="49" t="s">
        <v>23</v>
      </c>
      <c r="D207" s="50"/>
      <c r="E207" s="50"/>
      <c r="F207" s="50"/>
      <c r="G207" s="50"/>
      <c r="H207" s="50"/>
      <c r="I207" s="50"/>
      <c r="J207" s="50"/>
      <c r="K207" s="35" t="n">
        <f aca="false">COUNTA(D207:J207)</f>
        <v>0</v>
      </c>
      <c r="L207" s="34"/>
    </row>
    <row r="208" customFormat="false" ht="15" hidden="false" customHeight="false" outlineLevel="0" collapsed="false">
      <c r="B208" s="48" t="s">
        <v>19</v>
      </c>
      <c r="C208" s="49" t="s">
        <v>11</v>
      </c>
      <c r="D208" s="50"/>
      <c r="E208" s="50"/>
      <c r="F208" s="50"/>
      <c r="G208" s="50"/>
      <c r="H208" s="50"/>
      <c r="I208" s="50"/>
      <c r="J208" s="50" t="s">
        <v>126</v>
      </c>
      <c r="K208" s="35" t="n">
        <f aca="false">COUNTA(D208:J208)</f>
        <v>1</v>
      </c>
      <c r="L208" s="34" t="n">
        <f aca="false">SUM(K208:K210)</f>
        <v>3</v>
      </c>
    </row>
    <row r="209" customFormat="false" ht="15" hidden="false" customHeight="false" outlineLevel="0" collapsed="false">
      <c r="B209" s="48"/>
      <c r="C209" s="49" t="s">
        <v>18</v>
      </c>
      <c r="D209" s="50"/>
      <c r="E209" s="50" t="s">
        <v>126</v>
      </c>
      <c r="F209" s="50"/>
      <c r="G209" s="50"/>
      <c r="H209" s="50" t="s">
        <v>126</v>
      </c>
      <c r="I209" s="50"/>
      <c r="J209" s="50"/>
      <c r="K209" s="35" t="n">
        <f aca="false">COUNTA(D209:J209)</f>
        <v>2</v>
      </c>
      <c r="L209" s="34"/>
    </row>
    <row r="210" customFormat="false" ht="15" hidden="false" customHeight="false" outlineLevel="0" collapsed="false">
      <c r="B210" s="48"/>
      <c r="C210" s="49" t="s">
        <v>23</v>
      </c>
      <c r="D210" s="50"/>
      <c r="E210" s="50"/>
      <c r="F210" s="50"/>
      <c r="G210" s="50"/>
      <c r="H210" s="50"/>
      <c r="I210" s="50"/>
      <c r="J210" s="50"/>
      <c r="K210" s="35" t="n">
        <f aca="false">COUNTA(D210:J210)</f>
        <v>0</v>
      </c>
      <c r="L210" s="34"/>
    </row>
    <row r="211" customFormat="false" ht="15" hidden="false" customHeight="false" outlineLevel="0" collapsed="false">
      <c r="B211" s="48" t="s">
        <v>24</v>
      </c>
      <c r="C211" s="49" t="s">
        <v>11</v>
      </c>
      <c r="D211" s="50"/>
      <c r="E211" s="50"/>
      <c r="F211" s="50"/>
      <c r="G211" s="50"/>
      <c r="H211" s="50"/>
      <c r="I211" s="50"/>
      <c r="J211" s="50"/>
      <c r="K211" s="35" t="n">
        <f aca="false">COUNTA(D211:J211)</f>
        <v>0</v>
      </c>
      <c r="L211" s="34" t="n">
        <f aca="false">SUM(K211:K213)</f>
        <v>2</v>
      </c>
    </row>
    <row r="212" customFormat="false" ht="15" hidden="false" customHeight="false" outlineLevel="0" collapsed="false">
      <c r="B212" s="48"/>
      <c r="C212" s="49" t="s">
        <v>18</v>
      </c>
      <c r="D212" s="50"/>
      <c r="E212" s="50"/>
      <c r="F212" s="50" t="s">
        <v>126</v>
      </c>
      <c r="G212" s="50"/>
      <c r="H212" s="50"/>
      <c r="I212" s="50" t="s">
        <v>126</v>
      </c>
      <c r="J212" s="50"/>
      <c r="K212" s="35" t="n">
        <f aca="false">COUNTA(D212:J212)</f>
        <v>2</v>
      </c>
      <c r="L212" s="34"/>
    </row>
    <row r="213" customFormat="false" ht="15" hidden="false" customHeight="false" outlineLevel="0" collapsed="false">
      <c r="B213" s="48"/>
      <c r="C213" s="49" t="s">
        <v>23</v>
      </c>
      <c r="D213" s="50"/>
      <c r="E213" s="50"/>
      <c r="F213" s="50"/>
      <c r="G213" s="50"/>
      <c r="H213" s="50"/>
      <c r="I213" s="50"/>
      <c r="J213" s="50"/>
      <c r="K213" s="35" t="n">
        <f aca="false">COUNTA(D213:J213)</f>
        <v>0</v>
      </c>
      <c r="L213" s="34"/>
    </row>
    <row r="214" customFormat="false" ht="15" hidden="false" customHeight="false" outlineLevel="0" collapsed="false">
      <c r="B214" s="48" t="s">
        <v>35</v>
      </c>
      <c r="C214" s="49" t="s">
        <v>11</v>
      </c>
      <c r="D214" s="50"/>
      <c r="E214" s="50"/>
      <c r="F214" s="50"/>
      <c r="G214" s="50"/>
      <c r="H214" s="50"/>
      <c r="I214" s="50"/>
      <c r="J214" s="50"/>
      <c r="K214" s="35" t="n">
        <f aca="false">COUNTA(D214:J214)</f>
        <v>0</v>
      </c>
      <c r="L214" s="34" t="n">
        <f aca="false">SUM(K214:K216)</f>
        <v>6</v>
      </c>
    </row>
    <row r="215" customFormat="false" ht="15" hidden="false" customHeight="false" outlineLevel="0" collapsed="false">
      <c r="B215" s="48"/>
      <c r="C215" s="49" t="s">
        <v>18</v>
      </c>
      <c r="D215" s="50"/>
      <c r="E215" s="50"/>
      <c r="F215" s="50" t="s">
        <v>126</v>
      </c>
      <c r="G215" s="50"/>
      <c r="H215" s="50"/>
      <c r="I215" s="50"/>
      <c r="J215" s="50"/>
      <c r="K215" s="35" t="n">
        <f aca="false">COUNTA(D215:J215)</f>
        <v>1</v>
      </c>
      <c r="L215" s="34"/>
    </row>
    <row r="216" customFormat="false" ht="15" hidden="false" customHeight="false" outlineLevel="0" collapsed="false">
      <c r="B216" s="48"/>
      <c r="C216" s="49" t="s">
        <v>23</v>
      </c>
      <c r="D216" s="50" t="s">
        <v>126</v>
      </c>
      <c r="E216" s="50" t="s">
        <v>126</v>
      </c>
      <c r="F216" s="50" t="s">
        <v>126</v>
      </c>
      <c r="G216" s="50" t="s">
        <v>126</v>
      </c>
      <c r="H216" s="50" t="s">
        <v>126</v>
      </c>
      <c r="I216" s="50"/>
      <c r="J216" s="50"/>
      <c r="K216" s="35" t="n">
        <f aca="false">COUNTA(D216:J216)</f>
        <v>5</v>
      </c>
      <c r="L216" s="34"/>
    </row>
    <row r="217" customFormat="false" ht="15" hidden="false" customHeight="false" outlineLevel="0" collapsed="false">
      <c r="B217" s="48" t="s">
        <v>39</v>
      </c>
      <c r="C217" s="49" t="s">
        <v>11</v>
      </c>
      <c r="D217" s="50"/>
      <c r="E217" s="50"/>
      <c r="F217" s="50"/>
      <c r="G217" s="50"/>
      <c r="H217" s="50"/>
      <c r="I217" s="50"/>
      <c r="J217" s="50"/>
      <c r="K217" s="35" t="n">
        <f aca="false">COUNTA(D217:J217)</f>
        <v>0</v>
      </c>
      <c r="L217" s="34" t="n">
        <f aca="false">SUM(K217:K219)</f>
        <v>4</v>
      </c>
    </row>
    <row r="218" customFormat="false" ht="15" hidden="false" customHeight="false" outlineLevel="0" collapsed="false">
      <c r="B218" s="48"/>
      <c r="C218" s="49" t="s">
        <v>18</v>
      </c>
      <c r="D218" s="50"/>
      <c r="E218" s="50"/>
      <c r="F218" s="50"/>
      <c r="G218" s="50"/>
      <c r="H218" s="50"/>
      <c r="I218" s="50"/>
      <c r="J218" s="50"/>
      <c r="K218" s="35" t="n">
        <f aca="false">COUNTA(D218:J218)</f>
        <v>0</v>
      </c>
      <c r="L218" s="34"/>
    </row>
    <row r="219" customFormat="false" ht="15" hidden="false" customHeight="false" outlineLevel="0" collapsed="false">
      <c r="B219" s="48"/>
      <c r="C219" s="49" t="s">
        <v>23</v>
      </c>
      <c r="D219" s="50" t="s">
        <v>126</v>
      </c>
      <c r="E219" s="50"/>
      <c r="F219" s="50" t="s">
        <v>126</v>
      </c>
      <c r="G219" s="50"/>
      <c r="H219" s="50" t="s">
        <v>126</v>
      </c>
      <c r="I219" s="50"/>
      <c r="J219" s="50" t="s">
        <v>126</v>
      </c>
      <c r="K219" s="35" t="n">
        <f aca="false">COUNTA(D219:J219)</f>
        <v>4</v>
      </c>
      <c r="L219" s="34"/>
    </row>
    <row r="220" customFormat="false" ht="15" hidden="false" customHeight="false" outlineLevel="0" collapsed="false">
      <c r="B220" s="48" t="s">
        <v>14</v>
      </c>
      <c r="C220" s="49" t="s">
        <v>11</v>
      </c>
      <c r="D220" s="50"/>
      <c r="E220" s="50"/>
      <c r="F220" s="50"/>
      <c r="G220" s="50"/>
      <c r="H220" s="50"/>
      <c r="I220" s="50"/>
      <c r="J220" s="50"/>
      <c r="K220" s="35" t="n">
        <f aca="false">COUNTA(D220:J220)</f>
        <v>0</v>
      </c>
      <c r="L220" s="34" t="n">
        <f aca="false">SUM(K220:K222)</f>
        <v>3</v>
      </c>
    </row>
    <row r="221" customFormat="false" ht="15" hidden="false" customHeight="false" outlineLevel="0" collapsed="false">
      <c r="B221" s="48"/>
      <c r="C221" s="49" t="s">
        <v>18</v>
      </c>
      <c r="D221" s="50"/>
      <c r="E221" s="50"/>
      <c r="F221" s="50"/>
      <c r="G221" s="50"/>
      <c r="H221" s="50"/>
      <c r="I221" s="50"/>
      <c r="J221" s="50"/>
      <c r="K221" s="35" t="n">
        <f aca="false">COUNTA(D221:J221)</f>
        <v>0</v>
      </c>
      <c r="L221" s="34"/>
    </row>
    <row r="222" customFormat="false" ht="15" hidden="false" customHeight="false" outlineLevel="0" collapsed="false">
      <c r="B222" s="48"/>
      <c r="C222" s="49" t="s">
        <v>23</v>
      </c>
      <c r="D222" s="50" t="s">
        <v>126</v>
      </c>
      <c r="E222" s="50"/>
      <c r="F222" s="50"/>
      <c r="G222" s="50" t="s">
        <v>126</v>
      </c>
      <c r="H222" s="50"/>
      <c r="I222" s="50" t="s">
        <v>126</v>
      </c>
      <c r="J222" s="50"/>
      <c r="K222" s="35" t="n">
        <f aca="false">COUNTA(D222:J222)</f>
        <v>3</v>
      </c>
      <c r="L222" s="34"/>
    </row>
    <row r="223" customFormat="false" ht="15" hidden="false" customHeight="false" outlineLevel="0" collapsed="false">
      <c r="B223" s="48" t="s">
        <v>45</v>
      </c>
      <c r="C223" s="49" t="s">
        <v>11</v>
      </c>
      <c r="D223" s="50"/>
      <c r="E223" s="50"/>
      <c r="F223" s="50"/>
      <c r="G223" s="50"/>
      <c r="H223" s="50"/>
      <c r="I223" s="50"/>
      <c r="J223" s="50"/>
      <c r="K223" s="35" t="n">
        <f aca="false">COUNTA(D223:J223)</f>
        <v>0</v>
      </c>
      <c r="L223" s="34" t="n">
        <f aca="false">SUM(K223:K225)</f>
        <v>3</v>
      </c>
    </row>
    <row r="224" customFormat="false" ht="15" hidden="false" customHeight="false" outlineLevel="0" collapsed="false">
      <c r="B224" s="48"/>
      <c r="C224" s="49" t="s">
        <v>18</v>
      </c>
      <c r="D224" s="50"/>
      <c r="E224" s="50"/>
      <c r="F224" s="50"/>
      <c r="G224" s="50"/>
      <c r="H224" s="50"/>
      <c r="I224" s="50"/>
      <c r="J224" s="50"/>
      <c r="K224" s="35" t="n">
        <f aca="false">COUNTA(D224:J224)</f>
        <v>0</v>
      </c>
      <c r="L224" s="34"/>
    </row>
    <row r="225" customFormat="false" ht="15" hidden="false" customHeight="false" outlineLevel="0" collapsed="false">
      <c r="B225" s="48"/>
      <c r="C225" s="49" t="s">
        <v>23</v>
      </c>
      <c r="D225" s="50"/>
      <c r="E225" s="50" t="s">
        <v>126</v>
      </c>
      <c r="F225" s="50"/>
      <c r="G225" s="50" t="s">
        <v>126</v>
      </c>
      <c r="H225" s="50"/>
      <c r="I225" s="50" t="s">
        <v>126</v>
      </c>
      <c r="J225" s="50"/>
      <c r="K225" s="35" t="n">
        <f aca="false">COUNTA(D225:J225)</f>
        <v>3</v>
      </c>
      <c r="L225" s="34"/>
    </row>
    <row r="226" customFormat="false" ht="15" hidden="false" customHeight="false" outlineLevel="0" collapsed="false">
      <c r="B226" s="48" t="s">
        <v>48</v>
      </c>
      <c r="C226" s="49" t="s">
        <v>11</v>
      </c>
      <c r="D226" s="50"/>
      <c r="E226" s="50"/>
      <c r="F226" s="50"/>
      <c r="G226" s="50"/>
      <c r="H226" s="50"/>
      <c r="I226" s="50"/>
      <c r="J226" s="50"/>
      <c r="K226" s="35" t="n">
        <f aca="false">COUNTA(D226:J226)</f>
        <v>0</v>
      </c>
      <c r="L226" s="34" t="n">
        <f aca="false">SUM(K226:K228)</f>
        <v>2</v>
      </c>
    </row>
    <row r="227" customFormat="false" ht="15" hidden="false" customHeight="false" outlineLevel="0" collapsed="false">
      <c r="B227" s="48"/>
      <c r="C227" s="49" t="s">
        <v>18</v>
      </c>
      <c r="D227" s="50" t="s">
        <v>126</v>
      </c>
      <c r="E227" s="50"/>
      <c r="F227" s="50"/>
      <c r="G227" s="50"/>
      <c r="H227" s="50" t="s">
        <v>126</v>
      </c>
      <c r="I227" s="50"/>
      <c r="J227" s="50"/>
      <c r="K227" s="35" t="n">
        <f aca="false">COUNTA(D227:J227)</f>
        <v>2</v>
      </c>
      <c r="L227" s="34"/>
    </row>
    <row r="228" customFormat="false" ht="15" hidden="false" customHeight="false" outlineLevel="0" collapsed="false">
      <c r="B228" s="48"/>
      <c r="C228" s="49" t="s">
        <v>23</v>
      </c>
      <c r="D228" s="50"/>
      <c r="E228" s="50"/>
      <c r="F228" s="50"/>
      <c r="G228" s="50"/>
      <c r="H228" s="50"/>
      <c r="I228" s="50"/>
      <c r="J228" s="50"/>
      <c r="K228" s="35" t="n">
        <f aca="false">COUNTA(D228:J228)</f>
        <v>0</v>
      </c>
      <c r="L228" s="34"/>
    </row>
    <row r="229" customFormat="false" ht="15" hidden="false" customHeight="false" outlineLevel="0" collapsed="false">
      <c r="B229" s="48" t="s">
        <v>52</v>
      </c>
      <c r="C229" s="49" t="s">
        <v>11</v>
      </c>
      <c r="D229" s="50"/>
      <c r="E229" s="50"/>
      <c r="F229" s="50"/>
      <c r="G229" s="50"/>
      <c r="H229" s="50"/>
      <c r="I229" s="50"/>
      <c r="J229" s="50"/>
      <c r="K229" s="35" t="n">
        <f aca="false">COUNTA(D229:J229)</f>
        <v>0</v>
      </c>
      <c r="L229" s="34" t="n">
        <f aca="false">SUM(K229:K231)</f>
        <v>1</v>
      </c>
    </row>
    <row r="230" customFormat="false" ht="15" hidden="false" customHeight="false" outlineLevel="0" collapsed="false">
      <c r="B230" s="48"/>
      <c r="C230" s="49" t="s">
        <v>18</v>
      </c>
      <c r="D230" s="50"/>
      <c r="E230" s="50"/>
      <c r="F230" s="50"/>
      <c r="G230" s="50" t="s">
        <v>126</v>
      </c>
      <c r="H230" s="50"/>
      <c r="I230" s="50"/>
      <c r="J230" s="50"/>
      <c r="K230" s="35" t="n">
        <f aca="false">COUNTA(D230:J230)</f>
        <v>1</v>
      </c>
      <c r="L230" s="34"/>
    </row>
    <row r="231" customFormat="false" ht="15" hidden="false" customHeight="false" outlineLevel="0" collapsed="false">
      <c r="B231" s="48"/>
      <c r="C231" s="49" t="s">
        <v>23</v>
      </c>
      <c r="D231" s="50"/>
      <c r="E231" s="50"/>
      <c r="F231" s="50"/>
      <c r="G231" s="50"/>
      <c r="H231" s="50"/>
      <c r="I231" s="50"/>
      <c r="J231" s="50"/>
      <c r="K231" s="35" t="n">
        <f aca="false">COUNTA(D231:J231)</f>
        <v>0</v>
      </c>
      <c r="L231" s="34"/>
    </row>
    <row r="232" customFormat="false" ht="15" hidden="false" customHeight="false" outlineLevel="0" collapsed="false">
      <c r="B232" s="48" t="s">
        <v>55</v>
      </c>
      <c r="C232" s="49" t="s">
        <v>11</v>
      </c>
      <c r="D232" s="50"/>
      <c r="E232" s="50"/>
      <c r="F232" s="50"/>
      <c r="G232" s="50"/>
      <c r="H232" s="50"/>
      <c r="I232" s="50"/>
      <c r="J232" s="50"/>
      <c r="K232" s="35" t="n">
        <f aca="false">COUNTA(D232:J232)</f>
        <v>0</v>
      </c>
      <c r="L232" s="34" t="n">
        <f aca="false">SUM(K232:K234)</f>
        <v>2</v>
      </c>
    </row>
    <row r="233" customFormat="false" ht="15" hidden="false" customHeight="false" outlineLevel="0" collapsed="false">
      <c r="B233" s="48"/>
      <c r="C233" s="49" t="s">
        <v>18</v>
      </c>
      <c r="D233" s="50"/>
      <c r="E233" s="50"/>
      <c r="F233" s="50"/>
      <c r="G233" s="50"/>
      <c r="H233" s="50"/>
      <c r="I233" s="50"/>
      <c r="J233" s="50"/>
      <c r="K233" s="35" t="n">
        <f aca="false">COUNTA(D233:J233)</f>
        <v>0</v>
      </c>
      <c r="L233" s="34"/>
    </row>
    <row r="234" customFormat="false" ht="15" hidden="false" customHeight="false" outlineLevel="0" collapsed="false">
      <c r="B234" s="48"/>
      <c r="C234" s="49" t="s">
        <v>23</v>
      </c>
      <c r="D234" s="50"/>
      <c r="E234" s="50" t="s">
        <v>126</v>
      </c>
      <c r="F234" s="50"/>
      <c r="G234" s="50"/>
      <c r="H234" s="50"/>
      <c r="I234" s="50" t="s">
        <v>126</v>
      </c>
      <c r="J234" s="50"/>
      <c r="K234" s="35" t="n">
        <f aca="false">COUNTA(D234:J234)</f>
        <v>2</v>
      </c>
      <c r="L234" s="34"/>
    </row>
    <row r="235" customFormat="false" ht="15" hidden="false" customHeight="false" outlineLevel="0" collapsed="false">
      <c r="B235" s="48" t="s">
        <v>58</v>
      </c>
      <c r="C235" s="49" t="s">
        <v>11</v>
      </c>
      <c r="D235" s="50"/>
      <c r="E235" s="50"/>
      <c r="F235" s="50"/>
      <c r="G235" s="50"/>
      <c r="H235" s="50"/>
      <c r="I235" s="50"/>
      <c r="J235" s="50"/>
      <c r="K235" s="35" t="n">
        <f aca="false">COUNTA(D235:J235)</f>
        <v>0</v>
      </c>
      <c r="L235" s="34" t="n">
        <f aca="false">SUM(K235:K237)</f>
        <v>6</v>
      </c>
    </row>
    <row r="236" customFormat="false" ht="15" hidden="false" customHeight="false" outlineLevel="0" collapsed="false">
      <c r="B236" s="48"/>
      <c r="C236" s="49" t="s">
        <v>18</v>
      </c>
      <c r="D236" s="50"/>
      <c r="E236" s="50"/>
      <c r="F236" s="50"/>
      <c r="G236" s="50"/>
      <c r="H236" s="50"/>
      <c r="I236" s="50"/>
      <c r="J236" s="50"/>
      <c r="K236" s="35" t="n">
        <f aca="false">COUNTA(D236:J236)</f>
        <v>0</v>
      </c>
      <c r="L236" s="34"/>
    </row>
    <row r="237" customFormat="false" ht="15" hidden="false" customHeight="false" outlineLevel="0" collapsed="false">
      <c r="B237" s="48"/>
      <c r="C237" s="49" t="s">
        <v>23</v>
      </c>
      <c r="D237" s="50" t="s">
        <v>126</v>
      </c>
      <c r="E237" s="50" t="s">
        <v>126</v>
      </c>
      <c r="F237" s="50" t="s">
        <v>126</v>
      </c>
      <c r="G237" s="50" t="s">
        <v>126</v>
      </c>
      <c r="H237" s="50" t="s">
        <v>126</v>
      </c>
      <c r="I237" s="50" t="s">
        <v>126</v>
      </c>
      <c r="J237" s="50"/>
      <c r="K237" s="35" t="n">
        <f aca="false">COUNTA(D237:J237)</f>
        <v>6</v>
      </c>
      <c r="L237" s="34"/>
    </row>
    <row r="238" customFormat="false" ht="15" hidden="false" customHeight="false" outlineLevel="0" collapsed="false">
      <c r="B238" s="48" t="s">
        <v>61</v>
      </c>
      <c r="C238" s="49" t="s">
        <v>11</v>
      </c>
      <c r="D238" s="50"/>
      <c r="E238" s="50"/>
      <c r="F238" s="50"/>
      <c r="G238" s="50"/>
      <c r="H238" s="50"/>
      <c r="I238" s="50"/>
      <c r="J238" s="50"/>
      <c r="K238" s="35" t="n">
        <f aca="false">COUNTA(D238:J238)</f>
        <v>0</v>
      </c>
      <c r="L238" s="34" t="n">
        <f aca="false">SUM(K238:K240)</f>
        <v>2</v>
      </c>
    </row>
    <row r="239" customFormat="false" ht="15" hidden="false" customHeight="false" outlineLevel="0" collapsed="false">
      <c r="B239" s="48"/>
      <c r="C239" s="49" t="s">
        <v>18</v>
      </c>
      <c r="D239" s="50"/>
      <c r="E239" s="50"/>
      <c r="F239" s="50"/>
      <c r="G239" s="50"/>
      <c r="H239" s="50"/>
      <c r="I239" s="50"/>
      <c r="J239" s="50"/>
      <c r="K239" s="35" t="n">
        <f aca="false">COUNTA(D239:J239)</f>
        <v>0</v>
      </c>
      <c r="L239" s="34"/>
    </row>
    <row r="240" customFormat="false" ht="15" hidden="false" customHeight="false" outlineLevel="0" collapsed="false">
      <c r="B240" s="48"/>
      <c r="C240" s="49" t="s">
        <v>23</v>
      </c>
      <c r="D240" s="50"/>
      <c r="E240" s="50"/>
      <c r="F240" s="50" t="s">
        <v>126</v>
      </c>
      <c r="G240" s="50"/>
      <c r="H240" s="50"/>
      <c r="I240" s="50"/>
      <c r="J240" s="50" t="s">
        <v>126</v>
      </c>
      <c r="K240" s="35" t="n">
        <f aca="false">COUNTA(D240:J240)</f>
        <v>2</v>
      </c>
      <c r="L240" s="34"/>
    </row>
    <row r="242" customFormat="false" ht="19.5" hidden="false" customHeight="true" outlineLevel="0" collapsed="false">
      <c r="B242" s="41" t="str">
        <f aca="false">"TABLEAU 6/12  -  PROGRAMME DE SEPTEMBRE 2027"&amp;IF($C$4="septembre 2027","          &lt;&lt;&lt; MOIS ACTUELLEMENT FILTRE","")</f>
        <v>TABLEAU 6/12  -  PROGRAMME DE SEPTEMBRE 2027</v>
      </c>
      <c r="C242" s="41"/>
      <c r="D242" s="41"/>
      <c r="E242" s="41"/>
      <c r="F242" s="41"/>
      <c r="G242" s="41"/>
      <c r="H242" s="41"/>
      <c r="I242" s="41"/>
      <c r="J242" s="41"/>
      <c r="K242" s="46" t="s">
        <v>120</v>
      </c>
    </row>
    <row r="243" customFormat="false" ht="25.5" hidden="false" customHeight="true" outlineLevel="0" collapsed="false">
      <c r="B243" s="47" t="s">
        <v>82</v>
      </c>
      <c r="C243" s="47" t="s">
        <v>122</v>
      </c>
      <c r="D243" s="47" t="s">
        <v>26</v>
      </c>
      <c r="E243" s="47" t="s">
        <v>27</v>
      </c>
      <c r="F243" s="47" t="s">
        <v>28</v>
      </c>
      <c r="G243" s="47" t="s">
        <v>29</v>
      </c>
      <c r="H243" s="47" t="s">
        <v>30</v>
      </c>
      <c r="I243" s="47" t="s">
        <v>31</v>
      </c>
      <c r="J243" s="47" t="s">
        <v>32</v>
      </c>
      <c r="K243" s="47" t="s">
        <v>123</v>
      </c>
      <c r="L243" s="47" t="s">
        <v>124</v>
      </c>
    </row>
    <row r="244" customFormat="false" ht="15" hidden="false" customHeight="false" outlineLevel="0" collapsed="false">
      <c r="B244" s="48" t="s">
        <v>12</v>
      </c>
      <c r="C244" s="49" t="s">
        <v>11</v>
      </c>
      <c r="D244" s="50" t="s">
        <v>126</v>
      </c>
      <c r="E244" s="50" t="s">
        <v>126</v>
      </c>
      <c r="F244" s="50" t="s">
        <v>126</v>
      </c>
      <c r="G244" s="50" t="s">
        <v>126</v>
      </c>
      <c r="H244" s="50" t="s">
        <v>126</v>
      </c>
      <c r="I244" s="50" t="s">
        <v>126</v>
      </c>
      <c r="J244" s="50" t="s">
        <v>126</v>
      </c>
      <c r="K244" s="35" t="n">
        <f aca="false">COUNTA(D244:J244)</f>
        <v>7</v>
      </c>
      <c r="L244" s="34" t="n">
        <f aca="false">SUM(K244:K246)</f>
        <v>10</v>
      </c>
    </row>
    <row r="245" customFormat="false" ht="15" hidden="false" customHeight="false" outlineLevel="0" collapsed="false">
      <c r="B245" s="48"/>
      <c r="C245" s="49" t="s">
        <v>18</v>
      </c>
      <c r="D245" s="50" t="s">
        <v>126</v>
      </c>
      <c r="E245" s="50"/>
      <c r="F245" s="50"/>
      <c r="G245" s="50"/>
      <c r="H245" s="50" t="s">
        <v>126</v>
      </c>
      <c r="I245" s="50"/>
      <c r="J245" s="50"/>
      <c r="K245" s="35" t="n">
        <f aca="false">COUNTA(D245:J245)</f>
        <v>2</v>
      </c>
      <c r="L245" s="34"/>
    </row>
    <row r="246" customFormat="false" ht="15" hidden="false" customHeight="false" outlineLevel="0" collapsed="false">
      <c r="B246" s="48"/>
      <c r="C246" s="49" t="s">
        <v>23</v>
      </c>
      <c r="D246" s="50" t="s">
        <v>126</v>
      </c>
      <c r="E246" s="50"/>
      <c r="F246" s="50"/>
      <c r="G246" s="50"/>
      <c r="H246" s="50"/>
      <c r="I246" s="50"/>
      <c r="J246" s="50"/>
      <c r="K246" s="35" t="n">
        <f aca="false">COUNTA(D246:J246)</f>
        <v>1</v>
      </c>
      <c r="L246" s="34"/>
    </row>
    <row r="247" customFormat="false" ht="15" hidden="false" customHeight="false" outlineLevel="0" collapsed="false">
      <c r="B247" s="48" t="s">
        <v>19</v>
      </c>
      <c r="C247" s="49" t="s">
        <v>11</v>
      </c>
      <c r="D247" s="50"/>
      <c r="E247" s="50"/>
      <c r="F247" s="50"/>
      <c r="G247" s="50"/>
      <c r="H247" s="50"/>
      <c r="I247" s="50"/>
      <c r="J247" s="50" t="s">
        <v>126</v>
      </c>
      <c r="K247" s="35" t="n">
        <f aca="false">COUNTA(D247:J247)</f>
        <v>1</v>
      </c>
      <c r="L247" s="34" t="n">
        <f aca="false">SUM(K247:K249)</f>
        <v>3</v>
      </c>
    </row>
    <row r="248" customFormat="false" ht="15" hidden="false" customHeight="false" outlineLevel="0" collapsed="false">
      <c r="B248" s="48"/>
      <c r="C248" s="49" t="s">
        <v>18</v>
      </c>
      <c r="D248" s="50"/>
      <c r="E248" s="50" t="s">
        <v>126</v>
      </c>
      <c r="F248" s="50"/>
      <c r="G248" s="50"/>
      <c r="H248" s="50" t="s">
        <v>126</v>
      </c>
      <c r="I248" s="50"/>
      <c r="J248" s="50"/>
      <c r="K248" s="35" t="n">
        <f aca="false">COUNTA(D248:J248)</f>
        <v>2</v>
      </c>
      <c r="L248" s="34"/>
    </row>
    <row r="249" customFormat="false" ht="15" hidden="false" customHeight="false" outlineLevel="0" collapsed="false">
      <c r="B249" s="48"/>
      <c r="C249" s="49" t="s">
        <v>23</v>
      </c>
      <c r="D249" s="50"/>
      <c r="E249" s="50"/>
      <c r="F249" s="50"/>
      <c r="G249" s="50"/>
      <c r="H249" s="50"/>
      <c r="I249" s="50"/>
      <c r="J249" s="50"/>
      <c r="K249" s="35" t="n">
        <f aca="false">COUNTA(D249:J249)</f>
        <v>0</v>
      </c>
      <c r="L249" s="34"/>
    </row>
    <row r="250" customFormat="false" ht="15" hidden="false" customHeight="false" outlineLevel="0" collapsed="false">
      <c r="B250" s="48" t="s">
        <v>24</v>
      </c>
      <c r="C250" s="49" t="s">
        <v>11</v>
      </c>
      <c r="D250" s="50"/>
      <c r="E250" s="50"/>
      <c r="F250" s="50"/>
      <c r="G250" s="50"/>
      <c r="H250" s="50"/>
      <c r="I250" s="50"/>
      <c r="J250" s="50"/>
      <c r="K250" s="35" t="n">
        <f aca="false">COUNTA(D250:J250)</f>
        <v>0</v>
      </c>
      <c r="L250" s="34" t="n">
        <f aca="false">SUM(K250:K252)</f>
        <v>2</v>
      </c>
    </row>
    <row r="251" customFormat="false" ht="15" hidden="false" customHeight="false" outlineLevel="0" collapsed="false">
      <c r="B251" s="48"/>
      <c r="C251" s="49" t="s">
        <v>18</v>
      </c>
      <c r="D251" s="50"/>
      <c r="E251" s="50"/>
      <c r="F251" s="50" t="s">
        <v>126</v>
      </c>
      <c r="G251" s="50"/>
      <c r="H251" s="50"/>
      <c r="I251" s="50" t="s">
        <v>126</v>
      </c>
      <c r="J251" s="50"/>
      <c r="K251" s="35" t="n">
        <f aca="false">COUNTA(D251:J251)</f>
        <v>2</v>
      </c>
      <c r="L251" s="34"/>
    </row>
    <row r="252" customFormat="false" ht="15" hidden="false" customHeight="false" outlineLevel="0" collapsed="false">
      <c r="B252" s="48"/>
      <c r="C252" s="49" t="s">
        <v>23</v>
      </c>
      <c r="D252" s="50"/>
      <c r="E252" s="50"/>
      <c r="F252" s="50"/>
      <c r="G252" s="50"/>
      <c r="H252" s="50"/>
      <c r="I252" s="50"/>
      <c r="J252" s="50"/>
      <c r="K252" s="35" t="n">
        <f aca="false">COUNTA(D252:J252)</f>
        <v>0</v>
      </c>
      <c r="L252" s="34"/>
    </row>
    <row r="253" customFormat="false" ht="15" hidden="false" customHeight="false" outlineLevel="0" collapsed="false">
      <c r="B253" s="48" t="s">
        <v>35</v>
      </c>
      <c r="C253" s="49" t="s">
        <v>11</v>
      </c>
      <c r="D253" s="50"/>
      <c r="E253" s="50"/>
      <c r="F253" s="50"/>
      <c r="G253" s="50"/>
      <c r="H253" s="50"/>
      <c r="I253" s="50"/>
      <c r="J253" s="50"/>
      <c r="K253" s="35" t="n">
        <f aca="false">COUNTA(D253:J253)</f>
        <v>0</v>
      </c>
      <c r="L253" s="34" t="n">
        <f aca="false">SUM(K253:K255)</f>
        <v>6</v>
      </c>
    </row>
    <row r="254" customFormat="false" ht="15" hidden="false" customHeight="false" outlineLevel="0" collapsed="false">
      <c r="B254" s="48"/>
      <c r="C254" s="49" t="s">
        <v>18</v>
      </c>
      <c r="D254" s="50"/>
      <c r="E254" s="50"/>
      <c r="F254" s="50" t="s">
        <v>126</v>
      </c>
      <c r="G254" s="50"/>
      <c r="H254" s="50"/>
      <c r="I254" s="50"/>
      <c r="J254" s="50"/>
      <c r="K254" s="35" t="n">
        <f aca="false">COUNTA(D254:J254)</f>
        <v>1</v>
      </c>
      <c r="L254" s="34"/>
    </row>
    <row r="255" customFormat="false" ht="15" hidden="false" customHeight="false" outlineLevel="0" collapsed="false">
      <c r="B255" s="48"/>
      <c r="C255" s="49" t="s">
        <v>23</v>
      </c>
      <c r="D255" s="50" t="s">
        <v>126</v>
      </c>
      <c r="E255" s="50" t="s">
        <v>126</v>
      </c>
      <c r="F255" s="50" t="s">
        <v>126</v>
      </c>
      <c r="G255" s="50" t="s">
        <v>126</v>
      </c>
      <c r="H255" s="50" t="s">
        <v>126</v>
      </c>
      <c r="I255" s="50"/>
      <c r="J255" s="50"/>
      <c r="K255" s="35" t="n">
        <f aca="false">COUNTA(D255:J255)</f>
        <v>5</v>
      </c>
      <c r="L255" s="34"/>
    </row>
    <row r="256" customFormat="false" ht="15" hidden="false" customHeight="false" outlineLevel="0" collapsed="false">
      <c r="B256" s="48" t="s">
        <v>39</v>
      </c>
      <c r="C256" s="49" t="s">
        <v>11</v>
      </c>
      <c r="D256" s="50"/>
      <c r="E256" s="50"/>
      <c r="F256" s="50"/>
      <c r="G256" s="50"/>
      <c r="H256" s="50"/>
      <c r="I256" s="50"/>
      <c r="J256" s="50"/>
      <c r="K256" s="35" t="n">
        <f aca="false">COUNTA(D256:J256)</f>
        <v>0</v>
      </c>
      <c r="L256" s="34" t="n">
        <f aca="false">SUM(K256:K258)</f>
        <v>4</v>
      </c>
    </row>
    <row r="257" customFormat="false" ht="15" hidden="false" customHeight="false" outlineLevel="0" collapsed="false">
      <c r="B257" s="48"/>
      <c r="C257" s="49" t="s">
        <v>18</v>
      </c>
      <c r="D257" s="50"/>
      <c r="E257" s="50"/>
      <c r="F257" s="50"/>
      <c r="G257" s="50"/>
      <c r="H257" s="50"/>
      <c r="I257" s="50"/>
      <c r="J257" s="50"/>
      <c r="K257" s="35" t="n">
        <f aca="false">COUNTA(D257:J257)</f>
        <v>0</v>
      </c>
      <c r="L257" s="34"/>
    </row>
    <row r="258" customFormat="false" ht="15" hidden="false" customHeight="false" outlineLevel="0" collapsed="false">
      <c r="B258" s="48"/>
      <c r="C258" s="49" t="s">
        <v>23</v>
      </c>
      <c r="D258" s="50" t="s">
        <v>126</v>
      </c>
      <c r="E258" s="50"/>
      <c r="F258" s="50" t="s">
        <v>126</v>
      </c>
      <c r="G258" s="50"/>
      <c r="H258" s="50" t="s">
        <v>126</v>
      </c>
      <c r="I258" s="50"/>
      <c r="J258" s="50" t="s">
        <v>126</v>
      </c>
      <c r="K258" s="35" t="n">
        <f aca="false">COUNTA(D258:J258)</f>
        <v>4</v>
      </c>
      <c r="L258" s="34"/>
    </row>
    <row r="259" customFormat="false" ht="15" hidden="false" customHeight="false" outlineLevel="0" collapsed="false">
      <c r="B259" s="48" t="s">
        <v>14</v>
      </c>
      <c r="C259" s="49" t="s">
        <v>11</v>
      </c>
      <c r="D259" s="50"/>
      <c r="E259" s="50"/>
      <c r="F259" s="50"/>
      <c r="G259" s="50"/>
      <c r="H259" s="50"/>
      <c r="I259" s="50"/>
      <c r="J259" s="50"/>
      <c r="K259" s="35" t="n">
        <f aca="false">COUNTA(D259:J259)</f>
        <v>0</v>
      </c>
      <c r="L259" s="34" t="n">
        <f aca="false">SUM(K259:K261)</f>
        <v>3</v>
      </c>
    </row>
    <row r="260" customFormat="false" ht="15" hidden="false" customHeight="false" outlineLevel="0" collapsed="false">
      <c r="B260" s="48"/>
      <c r="C260" s="49" t="s">
        <v>18</v>
      </c>
      <c r="D260" s="50"/>
      <c r="E260" s="50"/>
      <c r="F260" s="50"/>
      <c r="G260" s="50"/>
      <c r="H260" s="50"/>
      <c r="I260" s="50"/>
      <c r="J260" s="50"/>
      <c r="K260" s="35" t="n">
        <f aca="false">COUNTA(D260:J260)</f>
        <v>0</v>
      </c>
      <c r="L260" s="34"/>
    </row>
    <row r="261" customFormat="false" ht="15" hidden="false" customHeight="false" outlineLevel="0" collapsed="false">
      <c r="B261" s="48"/>
      <c r="C261" s="49" t="s">
        <v>23</v>
      </c>
      <c r="D261" s="50" t="s">
        <v>126</v>
      </c>
      <c r="E261" s="50"/>
      <c r="F261" s="50"/>
      <c r="G261" s="50" t="s">
        <v>126</v>
      </c>
      <c r="H261" s="50"/>
      <c r="I261" s="50" t="s">
        <v>126</v>
      </c>
      <c r="J261" s="50"/>
      <c r="K261" s="35" t="n">
        <f aca="false">COUNTA(D261:J261)</f>
        <v>3</v>
      </c>
      <c r="L261" s="34"/>
    </row>
    <row r="262" customFormat="false" ht="15" hidden="false" customHeight="false" outlineLevel="0" collapsed="false">
      <c r="B262" s="48" t="s">
        <v>45</v>
      </c>
      <c r="C262" s="49" t="s">
        <v>11</v>
      </c>
      <c r="D262" s="50"/>
      <c r="E262" s="50"/>
      <c r="F262" s="50"/>
      <c r="G262" s="50"/>
      <c r="H262" s="50"/>
      <c r="I262" s="50"/>
      <c r="J262" s="50"/>
      <c r="K262" s="35" t="n">
        <f aca="false">COUNTA(D262:J262)</f>
        <v>0</v>
      </c>
      <c r="L262" s="34" t="n">
        <f aca="false">SUM(K262:K264)</f>
        <v>3</v>
      </c>
    </row>
    <row r="263" customFormat="false" ht="15" hidden="false" customHeight="false" outlineLevel="0" collapsed="false">
      <c r="B263" s="48"/>
      <c r="C263" s="49" t="s">
        <v>18</v>
      </c>
      <c r="D263" s="50"/>
      <c r="E263" s="50"/>
      <c r="F263" s="50"/>
      <c r="G263" s="50"/>
      <c r="H263" s="50"/>
      <c r="I263" s="50"/>
      <c r="J263" s="50"/>
      <c r="K263" s="35" t="n">
        <f aca="false">COUNTA(D263:J263)</f>
        <v>0</v>
      </c>
      <c r="L263" s="34"/>
    </row>
    <row r="264" customFormat="false" ht="15" hidden="false" customHeight="false" outlineLevel="0" collapsed="false">
      <c r="B264" s="48"/>
      <c r="C264" s="49" t="s">
        <v>23</v>
      </c>
      <c r="D264" s="50"/>
      <c r="E264" s="50" t="s">
        <v>126</v>
      </c>
      <c r="F264" s="50"/>
      <c r="G264" s="50" t="s">
        <v>126</v>
      </c>
      <c r="H264" s="50"/>
      <c r="I264" s="50" t="s">
        <v>126</v>
      </c>
      <c r="J264" s="50"/>
      <c r="K264" s="35" t="n">
        <f aca="false">COUNTA(D264:J264)</f>
        <v>3</v>
      </c>
      <c r="L264" s="34"/>
    </row>
    <row r="265" customFormat="false" ht="15" hidden="false" customHeight="false" outlineLevel="0" collapsed="false">
      <c r="B265" s="48" t="s">
        <v>48</v>
      </c>
      <c r="C265" s="49" t="s">
        <v>11</v>
      </c>
      <c r="D265" s="50"/>
      <c r="E265" s="50"/>
      <c r="F265" s="50"/>
      <c r="G265" s="50"/>
      <c r="H265" s="50"/>
      <c r="I265" s="50"/>
      <c r="J265" s="50"/>
      <c r="K265" s="35" t="n">
        <f aca="false">COUNTA(D265:J265)</f>
        <v>0</v>
      </c>
      <c r="L265" s="34" t="n">
        <f aca="false">SUM(K265:K267)</f>
        <v>2</v>
      </c>
    </row>
    <row r="266" customFormat="false" ht="15" hidden="false" customHeight="false" outlineLevel="0" collapsed="false">
      <c r="B266" s="48"/>
      <c r="C266" s="49" t="s">
        <v>18</v>
      </c>
      <c r="D266" s="50" t="s">
        <v>126</v>
      </c>
      <c r="E266" s="50"/>
      <c r="F266" s="50"/>
      <c r="G266" s="50"/>
      <c r="H266" s="50" t="s">
        <v>126</v>
      </c>
      <c r="I266" s="50"/>
      <c r="J266" s="50"/>
      <c r="K266" s="35" t="n">
        <f aca="false">COUNTA(D266:J266)</f>
        <v>2</v>
      </c>
      <c r="L266" s="34"/>
    </row>
    <row r="267" customFormat="false" ht="15" hidden="false" customHeight="false" outlineLevel="0" collapsed="false">
      <c r="B267" s="48"/>
      <c r="C267" s="49" t="s">
        <v>23</v>
      </c>
      <c r="D267" s="50"/>
      <c r="E267" s="50"/>
      <c r="F267" s="50"/>
      <c r="G267" s="50"/>
      <c r="H267" s="50"/>
      <c r="I267" s="50"/>
      <c r="J267" s="50"/>
      <c r="K267" s="35" t="n">
        <f aca="false">COUNTA(D267:J267)</f>
        <v>0</v>
      </c>
      <c r="L267" s="34"/>
    </row>
    <row r="268" customFormat="false" ht="15" hidden="false" customHeight="false" outlineLevel="0" collapsed="false">
      <c r="B268" s="48" t="s">
        <v>52</v>
      </c>
      <c r="C268" s="49" t="s">
        <v>11</v>
      </c>
      <c r="D268" s="50"/>
      <c r="E268" s="50"/>
      <c r="F268" s="50"/>
      <c r="G268" s="50"/>
      <c r="H268" s="50"/>
      <c r="I268" s="50"/>
      <c r="J268" s="50"/>
      <c r="K268" s="35" t="n">
        <f aca="false">COUNTA(D268:J268)</f>
        <v>0</v>
      </c>
      <c r="L268" s="34" t="n">
        <f aca="false">SUM(K268:K270)</f>
        <v>1</v>
      </c>
    </row>
    <row r="269" customFormat="false" ht="15" hidden="false" customHeight="false" outlineLevel="0" collapsed="false">
      <c r="B269" s="48"/>
      <c r="C269" s="49" t="s">
        <v>18</v>
      </c>
      <c r="D269" s="50"/>
      <c r="E269" s="50"/>
      <c r="F269" s="50"/>
      <c r="G269" s="50" t="s">
        <v>126</v>
      </c>
      <c r="H269" s="50"/>
      <c r="I269" s="50"/>
      <c r="J269" s="50"/>
      <c r="K269" s="35" t="n">
        <f aca="false">COUNTA(D269:J269)</f>
        <v>1</v>
      </c>
      <c r="L269" s="34"/>
    </row>
    <row r="270" customFormat="false" ht="15" hidden="false" customHeight="false" outlineLevel="0" collapsed="false">
      <c r="B270" s="48"/>
      <c r="C270" s="49" t="s">
        <v>23</v>
      </c>
      <c r="D270" s="50"/>
      <c r="E270" s="50"/>
      <c r="F270" s="50"/>
      <c r="G270" s="50"/>
      <c r="H270" s="50"/>
      <c r="I270" s="50"/>
      <c r="J270" s="50"/>
      <c r="K270" s="35" t="n">
        <f aca="false">COUNTA(D270:J270)</f>
        <v>0</v>
      </c>
      <c r="L270" s="34"/>
    </row>
    <row r="271" customFormat="false" ht="15" hidden="false" customHeight="false" outlineLevel="0" collapsed="false">
      <c r="B271" s="48" t="s">
        <v>55</v>
      </c>
      <c r="C271" s="49" t="s">
        <v>11</v>
      </c>
      <c r="D271" s="50"/>
      <c r="E271" s="50"/>
      <c r="F271" s="50"/>
      <c r="G271" s="50"/>
      <c r="H271" s="50"/>
      <c r="I271" s="50"/>
      <c r="J271" s="50"/>
      <c r="K271" s="35" t="n">
        <f aca="false">COUNTA(D271:J271)</f>
        <v>0</v>
      </c>
      <c r="L271" s="34" t="n">
        <f aca="false">SUM(K271:K273)</f>
        <v>2</v>
      </c>
    </row>
    <row r="272" customFormat="false" ht="15" hidden="false" customHeight="false" outlineLevel="0" collapsed="false">
      <c r="B272" s="48"/>
      <c r="C272" s="49" t="s">
        <v>18</v>
      </c>
      <c r="D272" s="50"/>
      <c r="E272" s="50"/>
      <c r="F272" s="50"/>
      <c r="G272" s="50"/>
      <c r="H272" s="50"/>
      <c r="I272" s="50"/>
      <c r="J272" s="50"/>
      <c r="K272" s="35" t="n">
        <f aca="false">COUNTA(D272:J272)</f>
        <v>0</v>
      </c>
      <c r="L272" s="34"/>
    </row>
    <row r="273" customFormat="false" ht="15" hidden="false" customHeight="false" outlineLevel="0" collapsed="false">
      <c r="B273" s="48"/>
      <c r="C273" s="49" t="s">
        <v>23</v>
      </c>
      <c r="D273" s="50"/>
      <c r="E273" s="50" t="s">
        <v>126</v>
      </c>
      <c r="F273" s="50"/>
      <c r="G273" s="50"/>
      <c r="H273" s="50"/>
      <c r="I273" s="50" t="s">
        <v>126</v>
      </c>
      <c r="J273" s="50"/>
      <c r="K273" s="35" t="n">
        <f aca="false">COUNTA(D273:J273)</f>
        <v>2</v>
      </c>
      <c r="L273" s="34"/>
    </row>
    <row r="274" customFormat="false" ht="15" hidden="false" customHeight="false" outlineLevel="0" collapsed="false">
      <c r="B274" s="48" t="s">
        <v>58</v>
      </c>
      <c r="C274" s="49" t="s">
        <v>11</v>
      </c>
      <c r="D274" s="50"/>
      <c r="E274" s="50"/>
      <c r="F274" s="50"/>
      <c r="G274" s="50"/>
      <c r="H274" s="50"/>
      <c r="I274" s="50"/>
      <c r="J274" s="50"/>
      <c r="K274" s="35" t="n">
        <f aca="false">COUNTA(D274:J274)</f>
        <v>0</v>
      </c>
      <c r="L274" s="34" t="n">
        <f aca="false">SUM(K274:K276)</f>
        <v>6</v>
      </c>
    </row>
    <row r="275" customFormat="false" ht="15" hidden="false" customHeight="false" outlineLevel="0" collapsed="false">
      <c r="B275" s="48"/>
      <c r="C275" s="49" t="s">
        <v>18</v>
      </c>
      <c r="D275" s="50"/>
      <c r="E275" s="50"/>
      <c r="F275" s="50"/>
      <c r="G275" s="50"/>
      <c r="H275" s="50"/>
      <c r="I275" s="50"/>
      <c r="J275" s="50"/>
      <c r="K275" s="35" t="n">
        <f aca="false">COUNTA(D275:J275)</f>
        <v>0</v>
      </c>
      <c r="L275" s="34"/>
    </row>
    <row r="276" customFormat="false" ht="15" hidden="false" customHeight="false" outlineLevel="0" collapsed="false">
      <c r="B276" s="48"/>
      <c r="C276" s="49" t="s">
        <v>23</v>
      </c>
      <c r="D276" s="50" t="s">
        <v>126</v>
      </c>
      <c r="E276" s="50" t="s">
        <v>126</v>
      </c>
      <c r="F276" s="50" t="s">
        <v>126</v>
      </c>
      <c r="G276" s="50" t="s">
        <v>126</v>
      </c>
      <c r="H276" s="50" t="s">
        <v>126</v>
      </c>
      <c r="I276" s="50" t="s">
        <v>126</v>
      </c>
      <c r="J276" s="50"/>
      <c r="K276" s="35" t="n">
        <f aca="false">COUNTA(D276:J276)</f>
        <v>6</v>
      </c>
      <c r="L276" s="34"/>
    </row>
    <row r="277" customFormat="false" ht="15" hidden="false" customHeight="false" outlineLevel="0" collapsed="false">
      <c r="B277" s="48" t="s">
        <v>61</v>
      </c>
      <c r="C277" s="49" t="s">
        <v>11</v>
      </c>
      <c r="D277" s="50"/>
      <c r="E277" s="50"/>
      <c r="F277" s="50"/>
      <c r="G277" s="50"/>
      <c r="H277" s="50"/>
      <c r="I277" s="50"/>
      <c r="J277" s="50"/>
      <c r="K277" s="35" t="n">
        <f aca="false">COUNTA(D277:J277)</f>
        <v>0</v>
      </c>
      <c r="L277" s="34" t="n">
        <f aca="false">SUM(K277:K279)</f>
        <v>2</v>
      </c>
    </row>
    <row r="278" customFormat="false" ht="15" hidden="false" customHeight="false" outlineLevel="0" collapsed="false">
      <c r="B278" s="48"/>
      <c r="C278" s="49" t="s">
        <v>18</v>
      </c>
      <c r="D278" s="50"/>
      <c r="E278" s="50"/>
      <c r="F278" s="50"/>
      <c r="G278" s="50"/>
      <c r="H278" s="50"/>
      <c r="I278" s="50"/>
      <c r="J278" s="50"/>
      <c r="K278" s="35" t="n">
        <f aca="false">COUNTA(D278:J278)</f>
        <v>0</v>
      </c>
      <c r="L278" s="34"/>
    </row>
    <row r="279" customFormat="false" ht="15" hidden="false" customHeight="false" outlineLevel="0" collapsed="false">
      <c r="B279" s="48"/>
      <c r="C279" s="49" t="s">
        <v>23</v>
      </c>
      <c r="D279" s="50"/>
      <c r="E279" s="50"/>
      <c r="F279" s="50" t="s">
        <v>126</v>
      </c>
      <c r="G279" s="50"/>
      <c r="H279" s="50"/>
      <c r="I279" s="50"/>
      <c r="J279" s="50" t="s">
        <v>126</v>
      </c>
      <c r="K279" s="35" t="n">
        <f aca="false">COUNTA(D279:J279)</f>
        <v>2</v>
      </c>
      <c r="L279" s="34"/>
    </row>
    <row r="281" customFormat="false" ht="19.5" hidden="false" customHeight="true" outlineLevel="0" collapsed="false">
      <c r="B281" s="41" t="str">
        <f aca="false">"TABLEAU 7/12  -  PROGRAMME DE OCTOBRE 2027"&amp;IF($C$4="octobre 2027","          &lt;&lt;&lt; MOIS ACTUELLEMENT FILTRE","")</f>
        <v>TABLEAU 7/12  -  PROGRAMME DE OCTOBRE 2027</v>
      </c>
      <c r="C281" s="41"/>
      <c r="D281" s="41"/>
      <c r="E281" s="41"/>
      <c r="F281" s="41"/>
      <c r="G281" s="41"/>
      <c r="H281" s="41"/>
      <c r="I281" s="41"/>
      <c r="J281" s="41"/>
      <c r="K281" s="46" t="s">
        <v>120</v>
      </c>
    </row>
    <row r="282" customFormat="false" ht="25.5" hidden="false" customHeight="true" outlineLevel="0" collapsed="false">
      <c r="B282" s="47" t="s">
        <v>82</v>
      </c>
      <c r="C282" s="47" t="s">
        <v>122</v>
      </c>
      <c r="D282" s="47" t="s">
        <v>26</v>
      </c>
      <c r="E282" s="47" t="s">
        <v>27</v>
      </c>
      <c r="F282" s="47" t="s">
        <v>28</v>
      </c>
      <c r="G282" s="47" t="s">
        <v>29</v>
      </c>
      <c r="H282" s="47" t="s">
        <v>30</v>
      </c>
      <c r="I282" s="47" t="s">
        <v>31</v>
      </c>
      <c r="J282" s="47" t="s">
        <v>32</v>
      </c>
      <c r="K282" s="47" t="s">
        <v>123</v>
      </c>
      <c r="L282" s="47" t="s">
        <v>124</v>
      </c>
    </row>
    <row r="283" customFormat="false" ht="15" hidden="false" customHeight="false" outlineLevel="0" collapsed="false">
      <c r="B283" s="48" t="s">
        <v>12</v>
      </c>
      <c r="C283" s="49" t="s">
        <v>11</v>
      </c>
      <c r="D283" s="50" t="s">
        <v>126</v>
      </c>
      <c r="E283" s="50" t="s">
        <v>126</v>
      </c>
      <c r="F283" s="50" t="s">
        <v>126</v>
      </c>
      <c r="G283" s="50" t="s">
        <v>126</v>
      </c>
      <c r="H283" s="50" t="s">
        <v>126</v>
      </c>
      <c r="I283" s="50" t="s">
        <v>126</v>
      </c>
      <c r="J283" s="50" t="s">
        <v>126</v>
      </c>
      <c r="K283" s="35" t="n">
        <f aca="false">COUNTA(D283:J283)</f>
        <v>7</v>
      </c>
      <c r="L283" s="34" t="n">
        <f aca="false">SUM(K283:K285)</f>
        <v>10</v>
      </c>
    </row>
    <row r="284" customFormat="false" ht="15" hidden="false" customHeight="false" outlineLevel="0" collapsed="false">
      <c r="B284" s="48"/>
      <c r="C284" s="49" t="s">
        <v>18</v>
      </c>
      <c r="D284" s="50" t="s">
        <v>126</v>
      </c>
      <c r="E284" s="50"/>
      <c r="F284" s="50"/>
      <c r="G284" s="50"/>
      <c r="H284" s="50" t="s">
        <v>126</v>
      </c>
      <c r="I284" s="50"/>
      <c r="J284" s="50"/>
      <c r="K284" s="35" t="n">
        <f aca="false">COUNTA(D284:J284)</f>
        <v>2</v>
      </c>
      <c r="L284" s="34"/>
    </row>
    <row r="285" customFormat="false" ht="15" hidden="false" customHeight="false" outlineLevel="0" collapsed="false">
      <c r="B285" s="48"/>
      <c r="C285" s="49" t="s">
        <v>23</v>
      </c>
      <c r="D285" s="50" t="s">
        <v>126</v>
      </c>
      <c r="E285" s="50"/>
      <c r="F285" s="50"/>
      <c r="G285" s="50"/>
      <c r="H285" s="50"/>
      <c r="I285" s="50"/>
      <c r="J285" s="50"/>
      <c r="K285" s="35" t="n">
        <f aca="false">COUNTA(D285:J285)</f>
        <v>1</v>
      </c>
      <c r="L285" s="34"/>
    </row>
    <row r="286" customFormat="false" ht="15" hidden="false" customHeight="false" outlineLevel="0" collapsed="false">
      <c r="B286" s="48" t="s">
        <v>19</v>
      </c>
      <c r="C286" s="49" t="s">
        <v>11</v>
      </c>
      <c r="D286" s="50"/>
      <c r="E286" s="50"/>
      <c r="F286" s="50"/>
      <c r="G286" s="50"/>
      <c r="H286" s="50"/>
      <c r="I286" s="50"/>
      <c r="J286" s="50" t="s">
        <v>126</v>
      </c>
      <c r="K286" s="35" t="n">
        <f aca="false">COUNTA(D286:J286)</f>
        <v>1</v>
      </c>
      <c r="L286" s="34" t="n">
        <f aca="false">SUM(K286:K288)</f>
        <v>3</v>
      </c>
    </row>
    <row r="287" customFormat="false" ht="15" hidden="false" customHeight="false" outlineLevel="0" collapsed="false">
      <c r="B287" s="48"/>
      <c r="C287" s="49" t="s">
        <v>18</v>
      </c>
      <c r="D287" s="50"/>
      <c r="E287" s="50" t="s">
        <v>126</v>
      </c>
      <c r="F287" s="50"/>
      <c r="G287" s="50"/>
      <c r="H287" s="50" t="s">
        <v>126</v>
      </c>
      <c r="I287" s="50"/>
      <c r="J287" s="50"/>
      <c r="K287" s="35" t="n">
        <f aca="false">COUNTA(D287:J287)</f>
        <v>2</v>
      </c>
      <c r="L287" s="34"/>
    </row>
    <row r="288" customFormat="false" ht="15" hidden="false" customHeight="false" outlineLevel="0" collapsed="false">
      <c r="B288" s="48"/>
      <c r="C288" s="49" t="s">
        <v>23</v>
      </c>
      <c r="D288" s="50"/>
      <c r="E288" s="50"/>
      <c r="F288" s="50"/>
      <c r="G288" s="50"/>
      <c r="H288" s="50"/>
      <c r="I288" s="50"/>
      <c r="J288" s="50"/>
      <c r="K288" s="35" t="n">
        <f aca="false">COUNTA(D288:J288)</f>
        <v>0</v>
      </c>
      <c r="L288" s="34"/>
    </row>
    <row r="289" customFormat="false" ht="15" hidden="false" customHeight="false" outlineLevel="0" collapsed="false">
      <c r="B289" s="48" t="s">
        <v>24</v>
      </c>
      <c r="C289" s="49" t="s">
        <v>11</v>
      </c>
      <c r="D289" s="50"/>
      <c r="E289" s="50"/>
      <c r="F289" s="50"/>
      <c r="G289" s="50"/>
      <c r="H289" s="50"/>
      <c r="I289" s="50"/>
      <c r="J289" s="50"/>
      <c r="K289" s="35" t="n">
        <f aca="false">COUNTA(D289:J289)</f>
        <v>0</v>
      </c>
      <c r="L289" s="34" t="n">
        <f aca="false">SUM(K289:K291)</f>
        <v>2</v>
      </c>
    </row>
    <row r="290" customFormat="false" ht="15" hidden="false" customHeight="false" outlineLevel="0" collapsed="false">
      <c r="B290" s="48"/>
      <c r="C290" s="49" t="s">
        <v>18</v>
      </c>
      <c r="D290" s="50"/>
      <c r="E290" s="50"/>
      <c r="F290" s="50" t="s">
        <v>126</v>
      </c>
      <c r="G290" s="50"/>
      <c r="H290" s="50"/>
      <c r="I290" s="50" t="s">
        <v>126</v>
      </c>
      <c r="J290" s="50"/>
      <c r="K290" s="35" t="n">
        <f aca="false">COUNTA(D290:J290)</f>
        <v>2</v>
      </c>
      <c r="L290" s="34"/>
    </row>
    <row r="291" customFormat="false" ht="15" hidden="false" customHeight="false" outlineLevel="0" collapsed="false">
      <c r="B291" s="48"/>
      <c r="C291" s="49" t="s">
        <v>23</v>
      </c>
      <c r="D291" s="50"/>
      <c r="E291" s="50"/>
      <c r="F291" s="50"/>
      <c r="G291" s="50"/>
      <c r="H291" s="50"/>
      <c r="I291" s="50"/>
      <c r="J291" s="50"/>
      <c r="K291" s="35" t="n">
        <f aca="false">COUNTA(D291:J291)</f>
        <v>0</v>
      </c>
      <c r="L291" s="34"/>
    </row>
    <row r="292" customFormat="false" ht="15" hidden="false" customHeight="false" outlineLevel="0" collapsed="false">
      <c r="B292" s="48" t="s">
        <v>35</v>
      </c>
      <c r="C292" s="49" t="s">
        <v>11</v>
      </c>
      <c r="D292" s="50"/>
      <c r="E292" s="50"/>
      <c r="F292" s="50"/>
      <c r="G292" s="50"/>
      <c r="H292" s="50"/>
      <c r="I292" s="50"/>
      <c r="J292" s="50"/>
      <c r="K292" s="35" t="n">
        <f aca="false">COUNTA(D292:J292)</f>
        <v>0</v>
      </c>
      <c r="L292" s="34" t="n">
        <f aca="false">SUM(K292:K294)</f>
        <v>6</v>
      </c>
    </row>
    <row r="293" customFormat="false" ht="15" hidden="false" customHeight="false" outlineLevel="0" collapsed="false">
      <c r="B293" s="48"/>
      <c r="C293" s="49" t="s">
        <v>18</v>
      </c>
      <c r="D293" s="50"/>
      <c r="E293" s="50"/>
      <c r="F293" s="50" t="s">
        <v>126</v>
      </c>
      <c r="G293" s="50"/>
      <c r="H293" s="50"/>
      <c r="I293" s="50"/>
      <c r="J293" s="50"/>
      <c r="K293" s="35" t="n">
        <f aca="false">COUNTA(D293:J293)</f>
        <v>1</v>
      </c>
      <c r="L293" s="34"/>
    </row>
    <row r="294" customFormat="false" ht="15" hidden="false" customHeight="false" outlineLevel="0" collapsed="false">
      <c r="B294" s="48"/>
      <c r="C294" s="49" t="s">
        <v>23</v>
      </c>
      <c r="D294" s="50" t="s">
        <v>126</v>
      </c>
      <c r="E294" s="50" t="s">
        <v>126</v>
      </c>
      <c r="F294" s="50" t="s">
        <v>126</v>
      </c>
      <c r="G294" s="50" t="s">
        <v>126</v>
      </c>
      <c r="H294" s="50" t="s">
        <v>126</v>
      </c>
      <c r="I294" s="50"/>
      <c r="J294" s="50"/>
      <c r="K294" s="35" t="n">
        <f aca="false">COUNTA(D294:J294)</f>
        <v>5</v>
      </c>
      <c r="L294" s="34"/>
    </row>
    <row r="295" customFormat="false" ht="15" hidden="false" customHeight="false" outlineLevel="0" collapsed="false">
      <c r="B295" s="48" t="s">
        <v>39</v>
      </c>
      <c r="C295" s="49" t="s">
        <v>11</v>
      </c>
      <c r="D295" s="50"/>
      <c r="E295" s="50"/>
      <c r="F295" s="50"/>
      <c r="G295" s="50"/>
      <c r="H295" s="50"/>
      <c r="I295" s="50"/>
      <c r="J295" s="50"/>
      <c r="K295" s="35" t="n">
        <f aca="false">COUNTA(D295:J295)</f>
        <v>0</v>
      </c>
      <c r="L295" s="34" t="n">
        <f aca="false">SUM(K295:K297)</f>
        <v>4</v>
      </c>
    </row>
    <row r="296" customFormat="false" ht="15" hidden="false" customHeight="false" outlineLevel="0" collapsed="false">
      <c r="B296" s="48"/>
      <c r="C296" s="49" t="s">
        <v>18</v>
      </c>
      <c r="D296" s="50"/>
      <c r="E296" s="50"/>
      <c r="F296" s="50"/>
      <c r="G296" s="50"/>
      <c r="H296" s="50"/>
      <c r="I296" s="50"/>
      <c r="J296" s="50"/>
      <c r="K296" s="35" t="n">
        <f aca="false">COUNTA(D296:J296)</f>
        <v>0</v>
      </c>
      <c r="L296" s="34"/>
    </row>
    <row r="297" customFormat="false" ht="15" hidden="false" customHeight="false" outlineLevel="0" collapsed="false">
      <c r="B297" s="48"/>
      <c r="C297" s="49" t="s">
        <v>23</v>
      </c>
      <c r="D297" s="50" t="s">
        <v>126</v>
      </c>
      <c r="E297" s="50"/>
      <c r="F297" s="50" t="s">
        <v>126</v>
      </c>
      <c r="G297" s="50"/>
      <c r="H297" s="50" t="s">
        <v>126</v>
      </c>
      <c r="I297" s="50"/>
      <c r="J297" s="50" t="s">
        <v>126</v>
      </c>
      <c r="K297" s="35" t="n">
        <f aca="false">COUNTA(D297:J297)</f>
        <v>4</v>
      </c>
      <c r="L297" s="34"/>
    </row>
    <row r="298" customFormat="false" ht="15" hidden="false" customHeight="false" outlineLevel="0" collapsed="false">
      <c r="B298" s="48" t="s">
        <v>14</v>
      </c>
      <c r="C298" s="49" t="s">
        <v>11</v>
      </c>
      <c r="D298" s="50"/>
      <c r="E298" s="50"/>
      <c r="F298" s="50"/>
      <c r="G298" s="50"/>
      <c r="H298" s="50"/>
      <c r="I298" s="50"/>
      <c r="J298" s="50"/>
      <c r="K298" s="35" t="n">
        <f aca="false">COUNTA(D298:J298)</f>
        <v>0</v>
      </c>
      <c r="L298" s="34" t="n">
        <f aca="false">SUM(K298:K300)</f>
        <v>3</v>
      </c>
    </row>
    <row r="299" customFormat="false" ht="15" hidden="false" customHeight="false" outlineLevel="0" collapsed="false">
      <c r="B299" s="48"/>
      <c r="C299" s="49" t="s">
        <v>18</v>
      </c>
      <c r="D299" s="50"/>
      <c r="E299" s="50"/>
      <c r="F299" s="50"/>
      <c r="G299" s="50"/>
      <c r="H299" s="50"/>
      <c r="I299" s="50"/>
      <c r="J299" s="50"/>
      <c r="K299" s="35" t="n">
        <f aca="false">COUNTA(D299:J299)</f>
        <v>0</v>
      </c>
      <c r="L299" s="34"/>
    </row>
    <row r="300" customFormat="false" ht="15" hidden="false" customHeight="false" outlineLevel="0" collapsed="false">
      <c r="B300" s="48"/>
      <c r="C300" s="49" t="s">
        <v>23</v>
      </c>
      <c r="D300" s="50" t="s">
        <v>126</v>
      </c>
      <c r="E300" s="50"/>
      <c r="F300" s="50"/>
      <c r="G300" s="50" t="s">
        <v>126</v>
      </c>
      <c r="H300" s="50"/>
      <c r="I300" s="50" t="s">
        <v>126</v>
      </c>
      <c r="J300" s="50"/>
      <c r="K300" s="35" t="n">
        <f aca="false">COUNTA(D300:J300)</f>
        <v>3</v>
      </c>
      <c r="L300" s="34"/>
    </row>
    <row r="301" customFormat="false" ht="15" hidden="false" customHeight="false" outlineLevel="0" collapsed="false">
      <c r="B301" s="48" t="s">
        <v>45</v>
      </c>
      <c r="C301" s="49" t="s">
        <v>11</v>
      </c>
      <c r="D301" s="50"/>
      <c r="E301" s="50"/>
      <c r="F301" s="50"/>
      <c r="G301" s="50"/>
      <c r="H301" s="50"/>
      <c r="I301" s="50"/>
      <c r="J301" s="50"/>
      <c r="K301" s="35" t="n">
        <f aca="false">COUNTA(D301:J301)</f>
        <v>0</v>
      </c>
      <c r="L301" s="34" t="n">
        <f aca="false">SUM(K301:K303)</f>
        <v>3</v>
      </c>
    </row>
    <row r="302" customFormat="false" ht="15" hidden="false" customHeight="false" outlineLevel="0" collapsed="false">
      <c r="B302" s="48"/>
      <c r="C302" s="49" t="s">
        <v>18</v>
      </c>
      <c r="D302" s="50"/>
      <c r="E302" s="50"/>
      <c r="F302" s="50"/>
      <c r="G302" s="50"/>
      <c r="H302" s="50"/>
      <c r="I302" s="50"/>
      <c r="J302" s="50"/>
      <c r="K302" s="35" t="n">
        <f aca="false">COUNTA(D302:J302)</f>
        <v>0</v>
      </c>
      <c r="L302" s="34"/>
    </row>
    <row r="303" customFormat="false" ht="15" hidden="false" customHeight="false" outlineLevel="0" collapsed="false">
      <c r="B303" s="48"/>
      <c r="C303" s="49" t="s">
        <v>23</v>
      </c>
      <c r="D303" s="50"/>
      <c r="E303" s="50" t="s">
        <v>126</v>
      </c>
      <c r="F303" s="50"/>
      <c r="G303" s="50" t="s">
        <v>126</v>
      </c>
      <c r="H303" s="50"/>
      <c r="I303" s="50" t="s">
        <v>126</v>
      </c>
      <c r="J303" s="50"/>
      <c r="K303" s="35" t="n">
        <f aca="false">COUNTA(D303:J303)</f>
        <v>3</v>
      </c>
      <c r="L303" s="34"/>
    </row>
    <row r="304" customFormat="false" ht="15" hidden="false" customHeight="false" outlineLevel="0" collapsed="false">
      <c r="B304" s="48" t="s">
        <v>48</v>
      </c>
      <c r="C304" s="49" t="s">
        <v>11</v>
      </c>
      <c r="D304" s="50"/>
      <c r="E304" s="50"/>
      <c r="F304" s="50"/>
      <c r="G304" s="50"/>
      <c r="H304" s="50"/>
      <c r="I304" s="50"/>
      <c r="J304" s="50"/>
      <c r="K304" s="35" t="n">
        <f aca="false">COUNTA(D304:J304)</f>
        <v>0</v>
      </c>
      <c r="L304" s="34" t="n">
        <f aca="false">SUM(K304:K306)</f>
        <v>2</v>
      </c>
    </row>
    <row r="305" customFormat="false" ht="15" hidden="false" customHeight="false" outlineLevel="0" collapsed="false">
      <c r="B305" s="48"/>
      <c r="C305" s="49" t="s">
        <v>18</v>
      </c>
      <c r="D305" s="50" t="s">
        <v>126</v>
      </c>
      <c r="E305" s="50"/>
      <c r="F305" s="50"/>
      <c r="G305" s="50"/>
      <c r="H305" s="50" t="s">
        <v>126</v>
      </c>
      <c r="I305" s="50"/>
      <c r="J305" s="50"/>
      <c r="K305" s="35" t="n">
        <f aca="false">COUNTA(D305:J305)</f>
        <v>2</v>
      </c>
      <c r="L305" s="34"/>
    </row>
    <row r="306" customFormat="false" ht="15" hidden="false" customHeight="false" outlineLevel="0" collapsed="false">
      <c r="B306" s="48"/>
      <c r="C306" s="49" t="s">
        <v>23</v>
      </c>
      <c r="D306" s="50"/>
      <c r="E306" s="50"/>
      <c r="F306" s="50"/>
      <c r="G306" s="50"/>
      <c r="H306" s="50"/>
      <c r="I306" s="50"/>
      <c r="J306" s="50"/>
      <c r="K306" s="35" t="n">
        <f aca="false">COUNTA(D306:J306)</f>
        <v>0</v>
      </c>
      <c r="L306" s="34"/>
    </row>
    <row r="307" customFormat="false" ht="15" hidden="false" customHeight="false" outlineLevel="0" collapsed="false">
      <c r="B307" s="48" t="s">
        <v>52</v>
      </c>
      <c r="C307" s="49" t="s">
        <v>11</v>
      </c>
      <c r="D307" s="50"/>
      <c r="E307" s="50"/>
      <c r="F307" s="50"/>
      <c r="G307" s="50"/>
      <c r="H307" s="50"/>
      <c r="I307" s="50"/>
      <c r="J307" s="50"/>
      <c r="K307" s="35" t="n">
        <f aca="false">COUNTA(D307:J307)</f>
        <v>0</v>
      </c>
      <c r="L307" s="34" t="n">
        <f aca="false">SUM(K307:K309)</f>
        <v>1</v>
      </c>
    </row>
    <row r="308" customFormat="false" ht="15" hidden="false" customHeight="false" outlineLevel="0" collapsed="false">
      <c r="B308" s="48"/>
      <c r="C308" s="49" t="s">
        <v>18</v>
      </c>
      <c r="D308" s="50"/>
      <c r="E308" s="50"/>
      <c r="F308" s="50"/>
      <c r="G308" s="50" t="s">
        <v>126</v>
      </c>
      <c r="H308" s="50"/>
      <c r="I308" s="50"/>
      <c r="J308" s="50"/>
      <c r="K308" s="35" t="n">
        <f aca="false">COUNTA(D308:J308)</f>
        <v>1</v>
      </c>
      <c r="L308" s="34"/>
    </row>
    <row r="309" customFormat="false" ht="15" hidden="false" customHeight="false" outlineLevel="0" collapsed="false">
      <c r="B309" s="48"/>
      <c r="C309" s="49" t="s">
        <v>23</v>
      </c>
      <c r="D309" s="50"/>
      <c r="E309" s="50"/>
      <c r="F309" s="50"/>
      <c r="G309" s="50"/>
      <c r="H309" s="50"/>
      <c r="I309" s="50"/>
      <c r="J309" s="50"/>
      <c r="K309" s="35" t="n">
        <f aca="false">COUNTA(D309:J309)</f>
        <v>0</v>
      </c>
      <c r="L309" s="34"/>
    </row>
    <row r="310" customFormat="false" ht="15" hidden="false" customHeight="false" outlineLevel="0" collapsed="false">
      <c r="B310" s="48" t="s">
        <v>55</v>
      </c>
      <c r="C310" s="49" t="s">
        <v>11</v>
      </c>
      <c r="D310" s="50"/>
      <c r="E310" s="50"/>
      <c r="F310" s="50"/>
      <c r="G310" s="50"/>
      <c r="H310" s="50"/>
      <c r="I310" s="50"/>
      <c r="J310" s="50"/>
      <c r="K310" s="35" t="n">
        <f aca="false">COUNTA(D310:J310)</f>
        <v>0</v>
      </c>
      <c r="L310" s="34" t="n">
        <f aca="false">SUM(K310:K312)</f>
        <v>2</v>
      </c>
    </row>
    <row r="311" customFormat="false" ht="15" hidden="false" customHeight="false" outlineLevel="0" collapsed="false">
      <c r="B311" s="48"/>
      <c r="C311" s="49" t="s">
        <v>18</v>
      </c>
      <c r="D311" s="50"/>
      <c r="E311" s="50"/>
      <c r="F311" s="50"/>
      <c r="G311" s="50"/>
      <c r="H311" s="50"/>
      <c r="I311" s="50"/>
      <c r="J311" s="50"/>
      <c r="K311" s="35" t="n">
        <f aca="false">COUNTA(D311:J311)</f>
        <v>0</v>
      </c>
      <c r="L311" s="34"/>
    </row>
    <row r="312" customFormat="false" ht="15" hidden="false" customHeight="false" outlineLevel="0" collapsed="false">
      <c r="B312" s="48"/>
      <c r="C312" s="49" t="s">
        <v>23</v>
      </c>
      <c r="D312" s="50"/>
      <c r="E312" s="50" t="s">
        <v>126</v>
      </c>
      <c r="F312" s="50"/>
      <c r="G312" s="50"/>
      <c r="H312" s="50"/>
      <c r="I312" s="50" t="s">
        <v>126</v>
      </c>
      <c r="J312" s="50"/>
      <c r="K312" s="35" t="n">
        <f aca="false">COUNTA(D312:J312)</f>
        <v>2</v>
      </c>
      <c r="L312" s="34"/>
    </row>
    <row r="313" customFormat="false" ht="15" hidden="false" customHeight="false" outlineLevel="0" collapsed="false">
      <c r="B313" s="48" t="s">
        <v>58</v>
      </c>
      <c r="C313" s="49" t="s">
        <v>11</v>
      </c>
      <c r="D313" s="50"/>
      <c r="E313" s="50"/>
      <c r="F313" s="50"/>
      <c r="G313" s="50"/>
      <c r="H313" s="50"/>
      <c r="I313" s="50"/>
      <c r="J313" s="50"/>
      <c r="K313" s="35" t="n">
        <f aca="false">COUNTA(D313:J313)</f>
        <v>0</v>
      </c>
      <c r="L313" s="34" t="n">
        <f aca="false">SUM(K313:K315)</f>
        <v>6</v>
      </c>
    </row>
    <row r="314" customFormat="false" ht="15" hidden="false" customHeight="false" outlineLevel="0" collapsed="false">
      <c r="B314" s="48"/>
      <c r="C314" s="49" t="s">
        <v>18</v>
      </c>
      <c r="D314" s="50"/>
      <c r="E314" s="50"/>
      <c r="F314" s="50"/>
      <c r="G314" s="50"/>
      <c r="H314" s="50"/>
      <c r="I314" s="50"/>
      <c r="J314" s="50"/>
      <c r="K314" s="35" t="n">
        <f aca="false">COUNTA(D314:J314)</f>
        <v>0</v>
      </c>
      <c r="L314" s="34"/>
    </row>
    <row r="315" customFormat="false" ht="15" hidden="false" customHeight="false" outlineLevel="0" collapsed="false">
      <c r="B315" s="48"/>
      <c r="C315" s="49" t="s">
        <v>23</v>
      </c>
      <c r="D315" s="50" t="s">
        <v>126</v>
      </c>
      <c r="E315" s="50" t="s">
        <v>126</v>
      </c>
      <c r="F315" s="50" t="s">
        <v>126</v>
      </c>
      <c r="G315" s="50" t="s">
        <v>126</v>
      </c>
      <c r="H315" s="50" t="s">
        <v>126</v>
      </c>
      <c r="I315" s="50" t="s">
        <v>126</v>
      </c>
      <c r="J315" s="50"/>
      <c r="K315" s="35" t="n">
        <f aca="false">COUNTA(D315:J315)</f>
        <v>6</v>
      </c>
      <c r="L315" s="34"/>
    </row>
    <row r="316" customFormat="false" ht="15" hidden="false" customHeight="false" outlineLevel="0" collapsed="false">
      <c r="B316" s="48" t="s">
        <v>61</v>
      </c>
      <c r="C316" s="49" t="s">
        <v>11</v>
      </c>
      <c r="D316" s="50"/>
      <c r="E316" s="50"/>
      <c r="F316" s="50"/>
      <c r="G316" s="50"/>
      <c r="H316" s="50"/>
      <c r="I316" s="50"/>
      <c r="J316" s="50"/>
      <c r="K316" s="35" t="n">
        <f aca="false">COUNTA(D316:J316)</f>
        <v>0</v>
      </c>
      <c r="L316" s="34" t="n">
        <f aca="false">SUM(K316:K318)</f>
        <v>2</v>
      </c>
    </row>
    <row r="317" customFormat="false" ht="15" hidden="false" customHeight="false" outlineLevel="0" collapsed="false">
      <c r="B317" s="48"/>
      <c r="C317" s="49" t="s">
        <v>18</v>
      </c>
      <c r="D317" s="50"/>
      <c r="E317" s="50"/>
      <c r="F317" s="50"/>
      <c r="G317" s="50"/>
      <c r="H317" s="50"/>
      <c r="I317" s="50"/>
      <c r="J317" s="50"/>
      <c r="K317" s="35" t="n">
        <f aca="false">COUNTA(D317:J317)</f>
        <v>0</v>
      </c>
      <c r="L317" s="34"/>
    </row>
    <row r="318" customFormat="false" ht="15" hidden="false" customHeight="false" outlineLevel="0" collapsed="false">
      <c r="B318" s="48"/>
      <c r="C318" s="49" t="s">
        <v>23</v>
      </c>
      <c r="D318" s="50"/>
      <c r="E318" s="50"/>
      <c r="F318" s="50" t="s">
        <v>126</v>
      </c>
      <c r="G318" s="50"/>
      <c r="H318" s="50"/>
      <c r="I318" s="50"/>
      <c r="J318" s="50" t="s">
        <v>126</v>
      </c>
      <c r="K318" s="35" t="n">
        <f aca="false">COUNTA(D318:J318)</f>
        <v>2</v>
      </c>
      <c r="L318" s="34"/>
    </row>
    <row r="320" customFormat="false" ht="19.5" hidden="false" customHeight="true" outlineLevel="0" collapsed="false">
      <c r="B320" s="41" t="str">
        <f aca="false">"TABLEAU 8/12  -  PROGRAMME DE NOVEMBRE 2027"&amp;IF($C$4="novembre 2027","          &lt;&lt;&lt; MOIS ACTUELLEMENT FILTRE","")</f>
        <v>TABLEAU 8/12  -  PROGRAMME DE NOVEMBRE 2027</v>
      </c>
      <c r="C320" s="41"/>
      <c r="D320" s="41"/>
      <c r="E320" s="41"/>
      <c r="F320" s="41"/>
      <c r="G320" s="41"/>
      <c r="H320" s="41"/>
      <c r="I320" s="41"/>
      <c r="J320" s="41"/>
      <c r="K320" s="46" t="s">
        <v>120</v>
      </c>
    </row>
    <row r="321" customFormat="false" ht="25.5" hidden="false" customHeight="true" outlineLevel="0" collapsed="false">
      <c r="B321" s="47" t="s">
        <v>82</v>
      </c>
      <c r="C321" s="47" t="s">
        <v>122</v>
      </c>
      <c r="D321" s="47" t="s">
        <v>26</v>
      </c>
      <c r="E321" s="47" t="s">
        <v>27</v>
      </c>
      <c r="F321" s="47" t="s">
        <v>28</v>
      </c>
      <c r="G321" s="47" t="s">
        <v>29</v>
      </c>
      <c r="H321" s="47" t="s">
        <v>30</v>
      </c>
      <c r="I321" s="47" t="s">
        <v>31</v>
      </c>
      <c r="J321" s="47" t="s">
        <v>32</v>
      </c>
      <c r="K321" s="47" t="s">
        <v>123</v>
      </c>
      <c r="L321" s="47" t="s">
        <v>124</v>
      </c>
    </row>
    <row r="322" customFormat="false" ht="15" hidden="false" customHeight="false" outlineLevel="0" collapsed="false">
      <c r="B322" s="48" t="s">
        <v>12</v>
      </c>
      <c r="C322" s="49" t="s">
        <v>11</v>
      </c>
      <c r="D322" s="50" t="s">
        <v>126</v>
      </c>
      <c r="E322" s="50" t="s">
        <v>126</v>
      </c>
      <c r="F322" s="50" t="s">
        <v>126</v>
      </c>
      <c r="G322" s="50" t="s">
        <v>126</v>
      </c>
      <c r="H322" s="50" t="s">
        <v>126</v>
      </c>
      <c r="I322" s="50" t="s">
        <v>126</v>
      </c>
      <c r="J322" s="50" t="s">
        <v>126</v>
      </c>
      <c r="K322" s="35" t="n">
        <f aca="false">COUNTA(D322:J322)</f>
        <v>7</v>
      </c>
      <c r="L322" s="34" t="n">
        <f aca="false">SUM(K322:K324)</f>
        <v>10</v>
      </c>
    </row>
    <row r="323" customFormat="false" ht="15" hidden="false" customHeight="false" outlineLevel="0" collapsed="false">
      <c r="B323" s="48"/>
      <c r="C323" s="49" t="s">
        <v>18</v>
      </c>
      <c r="D323" s="50" t="s">
        <v>126</v>
      </c>
      <c r="E323" s="50"/>
      <c r="F323" s="50"/>
      <c r="G323" s="50"/>
      <c r="H323" s="50" t="s">
        <v>126</v>
      </c>
      <c r="I323" s="50"/>
      <c r="J323" s="50"/>
      <c r="K323" s="35" t="n">
        <f aca="false">COUNTA(D323:J323)</f>
        <v>2</v>
      </c>
      <c r="L323" s="34"/>
    </row>
    <row r="324" customFormat="false" ht="15" hidden="false" customHeight="false" outlineLevel="0" collapsed="false">
      <c r="B324" s="48"/>
      <c r="C324" s="49" t="s">
        <v>23</v>
      </c>
      <c r="D324" s="50" t="s">
        <v>126</v>
      </c>
      <c r="E324" s="50"/>
      <c r="F324" s="50"/>
      <c r="G324" s="50"/>
      <c r="H324" s="50"/>
      <c r="I324" s="50"/>
      <c r="J324" s="50"/>
      <c r="K324" s="35" t="n">
        <f aca="false">COUNTA(D324:J324)</f>
        <v>1</v>
      </c>
      <c r="L324" s="34"/>
    </row>
    <row r="325" customFormat="false" ht="15" hidden="false" customHeight="false" outlineLevel="0" collapsed="false">
      <c r="B325" s="48" t="s">
        <v>19</v>
      </c>
      <c r="C325" s="49" t="s">
        <v>11</v>
      </c>
      <c r="D325" s="50"/>
      <c r="E325" s="50"/>
      <c r="F325" s="50"/>
      <c r="G325" s="50"/>
      <c r="H325" s="50"/>
      <c r="I325" s="50"/>
      <c r="J325" s="50" t="s">
        <v>126</v>
      </c>
      <c r="K325" s="35" t="n">
        <f aca="false">COUNTA(D325:J325)</f>
        <v>1</v>
      </c>
      <c r="L325" s="34" t="n">
        <f aca="false">SUM(K325:K327)</f>
        <v>3</v>
      </c>
    </row>
    <row r="326" customFormat="false" ht="15" hidden="false" customHeight="false" outlineLevel="0" collapsed="false">
      <c r="B326" s="48"/>
      <c r="C326" s="49" t="s">
        <v>18</v>
      </c>
      <c r="D326" s="50"/>
      <c r="E326" s="50" t="s">
        <v>126</v>
      </c>
      <c r="F326" s="50"/>
      <c r="G326" s="50"/>
      <c r="H326" s="50" t="s">
        <v>126</v>
      </c>
      <c r="I326" s="50"/>
      <c r="J326" s="50"/>
      <c r="K326" s="35" t="n">
        <f aca="false">COUNTA(D326:J326)</f>
        <v>2</v>
      </c>
      <c r="L326" s="34"/>
    </row>
    <row r="327" customFormat="false" ht="15" hidden="false" customHeight="false" outlineLevel="0" collapsed="false">
      <c r="B327" s="48"/>
      <c r="C327" s="49" t="s">
        <v>23</v>
      </c>
      <c r="D327" s="50"/>
      <c r="E327" s="50"/>
      <c r="F327" s="50"/>
      <c r="G327" s="50"/>
      <c r="H327" s="50"/>
      <c r="I327" s="50"/>
      <c r="J327" s="50"/>
      <c r="K327" s="35" t="n">
        <f aca="false">COUNTA(D327:J327)</f>
        <v>0</v>
      </c>
      <c r="L327" s="34"/>
    </row>
    <row r="328" customFormat="false" ht="15" hidden="false" customHeight="false" outlineLevel="0" collapsed="false">
      <c r="B328" s="48" t="s">
        <v>24</v>
      </c>
      <c r="C328" s="49" t="s">
        <v>11</v>
      </c>
      <c r="D328" s="50"/>
      <c r="E328" s="50"/>
      <c r="F328" s="50"/>
      <c r="G328" s="50"/>
      <c r="H328" s="50"/>
      <c r="I328" s="50"/>
      <c r="J328" s="50"/>
      <c r="K328" s="35" t="n">
        <f aca="false">COUNTA(D328:J328)</f>
        <v>0</v>
      </c>
      <c r="L328" s="34" t="n">
        <f aca="false">SUM(K328:K330)</f>
        <v>2</v>
      </c>
    </row>
    <row r="329" customFormat="false" ht="15" hidden="false" customHeight="false" outlineLevel="0" collapsed="false">
      <c r="B329" s="48"/>
      <c r="C329" s="49" t="s">
        <v>18</v>
      </c>
      <c r="D329" s="50"/>
      <c r="E329" s="50"/>
      <c r="F329" s="50" t="s">
        <v>126</v>
      </c>
      <c r="G329" s="50"/>
      <c r="H329" s="50"/>
      <c r="I329" s="50" t="s">
        <v>126</v>
      </c>
      <c r="J329" s="50"/>
      <c r="K329" s="35" t="n">
        <f aca="false">COUNTA(D329:J329)</f>
        <v>2</v>
      </c>
      <c r="L329" s="34"/>
    </row>
    <row r="330" customFormat="false" ht="15" hidden="false" customHeight="false" outlineLevel="0" collapsed="false">
      <c r="B330" s="48"/>
      <c r="C330" s="49" t="s">
        <v>23</v>
      </c>
      <c r="D330" s="50"/>
      <c r="E330" s="50"/>
      <c r="F330" s="50"/>
      <c r="G330" s="50"/>
      <c r="H330" s="50"/>
      <c r="I330" s="50"/>
      <c r="J330" s="50"/>
      <c r="K330" s="35" t="n">
        <f aca="false">COUNTA(D330:J330)</f>
        <v>0</v>
      </c>
      <c r="L330" s="34"/>
    </row>
    <row r="331" customFormat="false" ht="15" hidden="false" customHeight="false" outlineLevel="0" collapsed="false">
      <c r="B331" s="48" t="s">
        <v>35</v>
      </c>
      <c r="C331" s="49" t="s">
        <v>11</v>
      </c>
      <c r="D331" s="50"/>
      <c r="E331" s="50"/>
      <c r="F331" s="50"/>
      <c r="G331" s="50"/>
      <c r="H331" s="50"/>
      <c r="I331" s="50"/>
      <c r="J331" s="50"/>
      <c r="K331" s="35" t="n">
        <f aca="false">COUNTA(D331:J331)</f>
        <v>0</v>
      </c>
      <c r="L331" s="34" t="n">
        <f aca="false">SUM(K331:K333)</f>
        <v>6</v>
      </c>
    </row>
    <row r="332" customFormat="false" ht="15" hidden="false" customHeight="false" outlineLevel="0" collapsed="false">
      <c r="B332" s="48"/>
      <c r="C332" s="49" t="s">
        <v>18</v>
      </c>
      <c r="D332" s="50"/>
      <c r="E332" s="50"/>
      <c r="F332" s="50" t="s">
        <v>126</v>
      </c>
      <c r="G332" s="50"/>
      <c r="H332" s="50"/>
      <c r="I332" s="50"/>
      <c r="J332" s="50"/>
      <c r="K332" s="35" t="n">
        <f aca="false">COUNTA(D332:J332)</f>
        <v>1</v>
      </c>
      <c r="L332" s="34"/>
    </row>
    <row r="333" customFormat="false" ht="15" hidden="false" customHeight="false" outlineLevel="0" collapsed="false">
      <c r="B333" s="48"/>
      <c r="C333" s="49" t="s">
        <v>23</v>
      </c>
      <c r="D333" s="50" t="s">
        <v>126</v>
      </c>
      <c r="E333" s="50" t="s">
        <v>126</v>
      </c>
      <c r="F333" s="50" t="s">
        <v>126</v>
      </c>
      <c r="G333" s="50" t="s">
        <v>126</v>
      </c>
      <c r="H333" s="50" t="s">
        <v>126</v>
      </c>
      <c r="I333" s="50"/>
      <c r="J333" s="50"/>
      <c r="K333" s="35" t="n">
        <f aca="false">COUNTA(D333:J333)</f>
        <v>5</v>
      </c>
      <c r="L333" s="34"/>
    </row>
    <row r="334" customFormat="false" ht="15" hidden="false" customHeight="false" outlineLevel="0" collapsed="false">
      <c r="B334" s="48" t="s">
        <v>39</v>
      </c>
      <c r="C334" s="49" t="s">
        <v>11</v>
      </c>
      <c r="D334" s="50"/>
      <c r="E334" s="50"/>
      <c r="F334" s="50"/>
      <c r="G334" s="50"/>
      <c r="H334" s="50"/>
      <c r="I334" s="50"/>
      <c r="J334" s="50"/>
      <c r="K334" s="35" t="n">
        <f aca="false">COUNTA(D334:J334)</f>
        <v>0</v>
      </c>
      <c r="L334" s="34" t="n">
        <f aca="false">SUM(K334:K336)</f>
        <v>4</v>
      </c>
    </row>
    <row r="335" customFormat="false" ht="15" hidden="false" customHeight="false" outlineLevel="0" collapsed="false">
      <c r="B335" s="48"/>
      <c r="C335" s="49" t="s">
        <v>18</v>
      </c>
      <c r="D335" s="50"/>
      <c r="E335" s="50"/>
      <c r="F335" s="50"/>
      <c r="G335" s="50"/>
      <c r="H335" s="50"/>
      <c r="I335" s="50"/>
      <c r="J335" s="50"/>
      <c r="K335" s="35" t="n">
        <f aca="false">COUNTA(D335:J335)</f>
        <v>0</v>
      </c>
      <c r="L335" s="34"/>
    </row>
    <row r="336" customFormat="false" ht="15" hidden="false" customHeight="false" outlineLevel="0" collapsed="false">
      <c r="B336" s="48"/>
      <c r="C336" s="49" t="s">
        <v>23</v>
      </c>
      <c r="D336" s="50" t="s">
        <v>126</v>
      </c>
      <c r="E336" s="50"/>
      <c r="F336" s="50" t="s">
        <v>126</v>
      </c>
      <c r="G336" s="50"/>
      <c r="H336" s="50" t="s">
        <v>126</v>
      </c>
      <c r="I336" s="50"/>
      <c r="J336" s="50" t="s">
        <v>126</v>
      </c>
      <c r="K336" s="35" t="n">
        <f aca="false">COUNTA(D336:J336)</f>
        <v>4</v>
      </c>
      <c r="L336" s="34"/>
    </row>
    <row r="337" customFormat="false" ht="15" hidden="false" customHeight="false" outlineLevel="0" collapsed="false">
      <c r="B337" s="48" t="s">
        <v>14</v>
      </c>
      <c r="C337" s="49" t="s">
        <v>11</v>
      </c>
      <c r="D337" s="50"/>
      <c r="E337" s="50"/>
      <c r="F337" s="50"/>
      <c r="G337" s="50"/>
      <c r="H337" s="50"/>
      <c r="I337" s="50"/>
      <c r="J337" s="50"/>
      <c r="K337" s="35" t="n">
        <f aca="false">COUNTA(D337:J337)</f>
        <v>0</v>
      </c>
      <c r="L337" s="34" t="n">
        <f aca="false">SUM(K337:K339)</f>
        <v>3</v>
      </c>
    </row>
    <row r="338" customFormat="false" ht="15" hidden="false" customHeight="false" outlineLevel="0" collapsed="false">
      <c r="B338" s="48"/>
      <c r="C338" s="49" t="s">
        <v>18</v>
      </c>
      <c r="D338" s="50"/>
      <c r="E338" s="50"/>
      <c r="F338" s="50"/>
      <c r="G338" s="50"/>
      <c r="H338" s="50"/>
      <c r="I338" s="50"/>
      <c r="J338" s="50"/>
      <c r="K338" s="35" t="n">
        <f aca="false">COUNTA(D338:J338)</f>
        <v>0</v>
      </c>
      <c r="L338" s="34"/>
    </row>
    <row r="339" customFormat="false" ht="15" hidden="false" customHeight="false" outlineLevel="0" collapsed="false">
      <c r="B339" s="48"/>
      <c r="C339" s="49" t="s">
        <v>23</v>
      </c>
      <c r="D339" s="50" t="s">
        <v>126</v>
      </c>
      <c r="E339" s="50"/>
      <c r="F339" s="50"/>
      <c r="G339" s="50" t="s">
        <v>126</v>
      </c>
      <c r="H339" s="50"/>
      <c r="I339" s="50" t="s">
        <v>126</v>
      </c>
      <c r="J339" s="50"/>
      <c r="K339" s="35" t="n">
        <f aca="false">COUNTA(D339:J339)</f>
        <v>3</v>
      </c>
      <c r="L339" s="34"/>
    </row>
    <row r="340" customFormat="false" ht="15" hidden="false" customHeight="false" outlineLevel="0" collapsed="false">
      <c r="B340" s="48" t="s">
        <v>45</v>
      </c>
      <c r="C340" s="49" t="s">
        <v>11</v>
      </c>
      <c r="D340" s="50"/>
      <c r="E340" s="50"/>
      <c r="F340" s="50"/>
      <c r="G340" s="50"/>
      <c r="H340" s="50"/>
      <c r="I340" s="50"/>
      <c r="J340" s="50"/>
      <c r="K340" s="35" t="n">
        <f aca="false">COUNTA(D340:J340)</f>
        <v>0</v>
      </c>
      <c r="L340" s="34" t="n">
        <f aca="false">SUM(K340:K342)</f>
        <v>3</v>
      </c>
    </row>
    <row r="341" customFormat="false" ht="15" hidden="false" customHeight="false" outlineLevel="0" collapsed="false">
      <c r="B341" s="48"/>
      <c r="C341" s="49" t="s">
        <v>18</v>
      </c>
      <c r="D341" s="50"/>
      <c r="E341" s="50"/>
      <c r="F341" s="50"/>
      <c r="G341" s="50"/>
      <c r="H341" s="50"/>
      <c r="I341" s="50"/>
      <c r="J341" s="50"/>
      <c r="K341" s="35" t="n">
        <f aca="false">COUNTA(D341:J341)</f>
        <v>0</v>
      </c>
      <c r="L341" s="34"/>
    </row>
    <row r="342" customFormat="false" ht="15" hidden="false" customHeight="false" outlineLevel="0" collapsed="false">
      <c r="B342" s="48"/>
      <c r="C342" s="49" t="s">
        <v>23</v>
      </c>
      <c r="D342" s="50"/>
      <c r="E342" s="50" t="s">
        <v>126</v>
      </c>
      <c r="F342" s="50"/>
      <c r="G342" s="50" t="s">
        <v>126</v>
      </c>
      <c r="H342" s="50"/>
      <c r="I342" s="50" t="s">
        <v>126</v>
      </c>
      <c r="J342" s="50"/>
      <c r="K342" s="35" t="n">
        <f aca="false">COUNTA(D342:J342)</f>
        <v>3</v>
      </c>
      <c r="L342" s="34"/>
    </row>
    <row r="343" customFormat="false" ht="15" hidden="false" customHeight="false" outlineLevel="0" collapsed="false">
      <c r="B343" s="48" t="s">
        <v>48</v>
      </c>
      <c r="C343" s="49" t="s">
        <v>11</v>
      </c>
      <c r="D343" s="50"/>
      <c r="E343" s="50"/>
      <c r="F343" s="50"/>
      <c r="G343" s="50"/>
      <c r="H343" s="50"/>
      <c r="I343" s="50"/>
      <c r="J343" s="50"/>
      <c r="K343" s="35" t="n">
        <f aca="false">COUNTA(D343:J343)</f>
        <v>0</v>
      </c>
      <c r="L343" s="34" t="n">
        <f aca="false">SUM(K343:K345)</f>
        <v>2</v>
      </c>
    </row>
    <row r="344" customFormat="false" ht="15" hidden="false" customHeight="false" outlineLevel="0" collapsed="false">
      <c r="B344" s="48"/>
      <c r="C344" s="49" t="s">
        <v>18</v>
      </c>
      <c r="D344" s="50" t="s">
        <v>126</v>
      </c>
      <c r="E344" s="50"/>
      <c r="F344" s="50"/>
      <c r="G344" s="50"/>
      <c r="H344" s="50" t="s">
        <v>126</v>
      </c>
      <c r="I344" s="50"/>
      <c r="J344" s="50"/>
      <c r="K344" s="35" t="n">
        <f aca="false">COUNTA(D344:J344)</f>
        <v>2</v>
      </c>
      <c r="L344" s="34"/>
    </row>
    <row r="345" customFormat="false" ht="15" hidden="false" customHeight="false" outlineLevel="0" collapsed="false">
      <c r="B345" s="48"/>
      <c r="C345" s="49" t="s">
        <v>23</v>
      </c>
      <c r="D345" s="50"/>
      <c r="E345" s="50"/>
      <c r="F345" s="50"/>
      <c r="G345" s="50"/>
      <c r="H345" s="50"/>
      <c r="I345" s="50"/>
      <c r="J345" s="50"/>
      <c r="K345" s="35" t="n">
        <f aca="false">COUNTA(D345:J345)</f>
        <v>0</v>
      </c>
      <c r="L345" s="34"/>
    </row>
    <row r="346" customFormat="false" ht="15" hidden="false" customHeight="false" outlineLevel="0" collapsed="false">
      <c r="B346" s="48" t="s">
        <v>52</v>
      </c>
      <c r="C346" s="49" t="s">
        <v>11</v>
      </c>
      <c r="D346" s="50"/>
      <c r="E346" s="50"/>
      <c r="F346" s="50"/>
      <c r="G346" s="50"/>
      <c r="H346" s="50"/>
      <c r="I346" s="50"/>
      <c r="J346" s="50"/>
      <c r="K346" s="35" t="n">
        <f aca="false">COUNTA(D346:J346)</f>
        <v>0</v>
      </c>
      <c r="L346" s="34" t="n">
        <f aca="false">SUM(K346:K348)</f>
        <v>1</v>
      </c>
    </row>
    <row r="347" customFormat="false" ht="15" hidden="false" customHeight="false" outlineLevel="0" collapsed="false">
      <c r="B347" s="48"/>
      <c r="C347" s="49" t="s">
        <v>18</v>
      </c>
      <c r="D347" s="50"/>
      <c r="E347" s="50"/>
      <c r="F347" s="50"/>
      <c r="G347" s="50" t="s">
        <v>126</v>
      </c>
      <c r="H347" s="50"/>
      <c r="I347" s="50"/>
      <c r="J347" s="50"/>
      <c r="K347" s="35" t="n">
        <f aca="false">COUNTA(D347:J347)</f>
        <v>1</v>
      </c>
      <c r="L347" s="34"/>
    </row>
    <row r="348" customFormat="false" ht="15" hidden="false" customHeight="false" outlineLevel="0" collapsed="false">
      <c r="B348" s="48"/>
      <c r="C348" s="49" t="s">
        <v>23</v>
      </c>
      <c r="D348" s="50"/>
      <c r="E348" s="50"/>
      <c r="F348" s="50"/>
      <c r="G348" s="50"/>
      <c r="H348" s="50"/>
      <c r="I348" s="50"/>
      <c r="J348" s="50"/>
      <c r="K348" s="35" t="n">
        <f aca="false">COUNTA(D348:J348)</f>
        <v>0</v>
      </c>
      <c r="L348" s="34"/>
    </row>
    <row r="349" customFormat="false" ht="15" hidden="false" customHeight="false" outlineLevel="0" collapsed="false">
      <c r="B349" s="48" t="s">
        <v>55</v>
      </c>
      <c r="C349" s="49" t="s">
        <v>11</v>
      </c>
      <c r="D349" s="50"/>
      <c r="E349" s="50"/>
      <c r="F349" s="50"/>
      <c r="G349" s="50"/>
      <c r="H349" s="50"/>
      <c r="I349" s="50"/>
      <c r="J349" s="50"/>
      <c r="K349" s="35" t="n">
        <f aca="false">COUNTA(D349:J349)</f>
        <v>0</v>
      </c>
      <c r="L349" s="34" t="n">
        <f aca="false">SUM(K349:K351)</f>
        <v>2</v>
      </c>
    </row>
    <row r="350" customFormat="false" ht="15" hidden="false" customHeight="false" outlineLevel="0" collapsed="false">
      <c r="B350" s="48"/>
      <c r="C350" s="49" t="s">
        <v>18</v>
      </c>
      <c r="D350" s="50"/>
      <c r="E350" s="50"/>
      <c r="F350" s="50"/>
      <c r="G350" s="50"/>
      <c r="H350" s="50"/>
      <c r="I350" s="50"/>
      <c r="J350" s="50"/>
      <c r="K350" s="35" t="n">
        <f aca="false">COUNTA(D350:J350)</f>
        <v>0</v>
      </c>
      <c r="L350" s="34"/>
    </row>
    <row r="351" customFormat="false" ht="15" hidden="false" customHeight="false" outlineLevel="0" collapsed="false">
      <c r="B351" s="48"/>
      <c r="C351" s="49" t="s">
        <v>23</v>
      </c>
      <c r="D351" s="50"/>
      <c r="E351" s="50" t="s">
        <v>126</v>
      </c>
      <c r="F351" s="50"/>
      <c r="G351" s="50"/>
      <c r="H351" s="50"/>
      <c r="I351" s="50" t="s">
        <v>126</v>
      </c>
      <c r="J351" s="50"/>
      <c r="K351" s="35" t="n">
        <f aca="false">COUNTA(D351:J351)</f>
        <v>2</v>
      </c>
      <c r="L351" s="34"/>
    </row>
    <row r="352" customFormat="false" ht="15" hidden="false" customHeight="false" outlineLevel="0" collapsed="false">
      <c r="B352" s="48" t="s">
        <v>58</v>
      </c>
      <c r="C352" s="49" t="s">
        <v>11</v>
      </c>
      <c r="D352" s="50"/>
      <c r="E352" s="50"/>
      <c r="F352" s="50"/>
      <c r="G352" s="50"/>
      <c r="H352" s="50"/>
      <c r="I352" s="50"/>
      <c r="J352" s="50"/>
      <c r="K352" s="35" t="n">
        <f aca="false">COUNTA(D352:J352)</f>
        <v>0</v>
      </c>
      <c r="L352" s="34" t="n">
        <f aca="false">SUM(K352:K354)</f>
        <v>6</v>
      </c>
    </row>
    <row r="353" customFormat="false" ht="15" hidden="false" customHeight="false" outlineLevel="0" collapsed="false">
      <c r="B353" s="48"/>
      <c r="C353" s="49" t="s">
        <v>18</v>
      </c>
      <c r="D353" s="50"/>
      <c r="E353" s="50"/>
      <c r="F353" s="50"/>
      <c r="G353" s="50"/>
      <c r="H353" s="50"/>
      <c r="I353" s="50"/>
      <c r="J353" s="50"/>
      <c r="K353" s="35" t="n">
        <f aca="false">COUNTA(D353:J353)</f>
        <v>0</v>
      </c>
      <c r="L353" s="34"/>
    </row>
    <row r="354" customFormat="false" ht="15" hidden="false" customHeight="false" outlineLevel="0" collapsed="false">
      <c r="B354" s="48"/>
      <c r="C354" s="49" t="s">
        <v>23</v>
      </c>
      <c r="D354" s="50" t="s">
        <v>126</v>
      </c>
      <c r="E354" s="50" t="s">
        <v>126</v>
      </c>
      <c r="F354" s="50" t="s">
        <v>126</v>
      </c>
      <c r="G354" s="50" t="s">
        <v>126</v>
      </c>
      <c r="H354" s="50" t="s">
        <v>126</v>
      </c>
      <c r="I354" s="50" t="s">
        <v>126</v>
      </c>
      <c r="J354" s="50"/>
      <c r="K354" s="35" t="n">
        <f aca="false">COUNTA(D354:J354)</f>
        <v>6</v>
      </c>
      <c r="L354" s="34"/>
    </row>
    <row r="355" customFormat="false" ht="15" hidden="false" customHeight="false" outlineLevel="0" collapsed="false">
      <c r="B355" s="48" t="s">
        <v>61</v>
      </c>
      <c r="C355" s="49" t="s">
        <v>11</v>
      </c>
      <c r="D355" s="50"/>
      <c r="E355" s="50"/>
      <c r="F355" s="50"/>
      <c r="G355" s="50"/>
      <c r="H355" s="50"/>
      <c r="I355" s="50"/>
      <c r="J355" s="50"/>
      <c r="K355" s="35" t="n">
        <f aca="false">COUNTA(D355:J355)</f>
        <v>0</v>
      </c>
      <c r="L355" s="34" t="n">
        <f aca="false">SUM(K355:K357)</f>
        <v>2</v>
      </c>
    </row>
    <row r="356" customFormat="false" ht="15" hidden="false" customHeight="false" outlineLevel="0" collapsed="false">
      <c r="B356" s="48"/>
      <c r="C356" s="49" t="s">
        <v>18</v>
      </c>
      <c r="D356" s="50"/>
      <c r="E356" s="50"/>
      <c r="F356" s="50"/>
      <c r="G356" s="50"/>
      <c r="H356" s="50"/>
      <c r="I356" s="50"/>
      <c r="J356" s="50"/>
      <c r="K356" s="35" t="n">
        <f aca="false">COUNTA(D356:J356)</f>
        <v>0</v>
      </c>
      <c r="L356" s="34"/>
    </row>
    <row r="357" customFormat="false" ht="15" hidden="false" customHeight="false" outlineLevel="0" collapsed="false">
      <c r="B357" s="48"/>
      <c r="C357" s="49" t="s">
        <v>23</v>
      </c>
      <c r="D357" s="50"/>
      <c r="E357" s="50"/>
      <c r="F357" s="50" t="s">
        <v>126</v>
      </c>
      <c r="G357" s="50"/>
      <c r="H357" s="50"/>
      <c r="I357" s="50"/>
      <c r="J357" s="50" t="s">
        <v>126</v>
      </c>
      <c r="K357" s="35" t="n">
        <f aca="false">COUNTA(D357:J357)</f>
        <v>2</v>
      </c>
      <c r="L357" s="34"/>
    </row>
    <row r="359" customFormat="false" ht="19.5" hidden="false" customHeight="true" outlineLevel="0" collapsed="false">
      <c r="B359" s="41" t="str">
        <f aca="false">"TABLEAU 9/12  -  PROGRAMME DE DECEMBRE 2027"&amp;IF($C$4="decembre 2027","          &lt;&lt;&lt; MOIS ACTUELLEMENT FILTRE","")</f>
        <v>TABLEAU 9/12  -  PROGRAMME DE DECEMBRE 2027</v>
      </c>
      <c r="C359" s="41"/>
      <c r="D359" s="41"/>
      <c r="E359" s="41"/>
      <c r="F359" s="41"/>
      <c r="G359" s="41"/>
      <c r="H359" s="41"/>
      <c r="I359" s="41"/>
      <c r="J359" s="41"/>
      <c r="K359" s="46" t="s">
        <v>120</v>
      </c>
    </row>
    <row r="360" customFormat="false" ht="25.5" hidden="false" customHeight="true" outlineLevel="0" collapsed="false">
      <c r="B360" s="47" t="s">
        <v>82</v>
      </c>
      <c r="C360" s="47" t="s">
        <v>122</v>
      </c>
      <c r="D360" s="47" t="s">
        <v>26</v>
      </c>
      <c r="E360" s="47" t="s">
        <v>27</v>
      </c>
      <c r="F360" s="47" t="s">
        <v>28</v>
      </c>
      <c r="G360" s="47" t="s">
        <v>29</v>
      </c>
      <c r="H360" s="47" t="s">
        <v>30</v>
      </c>
      <c r="I360" s="47" t="s">
        <v>31</v>
      </c>
      <c r="J360" s="47" t="s">
        <v>32</v>
      </c>
      <c r="K360" s="47" t="s">
        <v>123</v>
      </c>
      <c r="L360" s="47" t="s">
        <v>124</v>
      </c>
    </row>
    <row r="361" customFormat="false" ht="15" hidden="false" customHeight="false" outlineLevel="0" collapsed="false">
      <c r="B361" s="48" t="s">
        <v>12</v>
      </c>
      <c r="C361" s="49" t="s">
        <v>11</v>
      </c>
      <c r="D361" s="50" t="s">
        <v>126</v>
      </c>
      <c r="E361" s="50" t="s">
        <v>126</v>
      </c>
      <c r="F361" s="50" t="s">
        <v>126</v>
      </c>
      <c r="G361" s="50" t="s">
        <v>126</v>
      </c>
      <c r="H361" s="50" t="s">
        <v>126</v>
      </c>
      <c r="I361" s="50" t="s">
        <v>126</v>
      </c>
      <c r="J361" s="50" t="s">
        <v>126</v>
      </c>
      <c r="K361" s="35" t="n">
        <f aca="false">COUNTA(D361:J361)</f>
        <v>7</v>
      </c>
      <c r="L361" s="34" t="n">
        <f aca="false">SUM(K361:K363)</f>
        <v>10</v>
      </c>
    </row>
    <row r="362" customFormat="false" ht="15" hidden="false" customHeight="false" outlineLevel="0" collapsed="false">
      <c r="B362" s="48"/>
      <c r="C362" s="49" t="s">
        <v>18</v>
      </c>
      <c r="D362" s="50" t="s">
        <v>126</v>
      </c>
      <c r="E362" s="50"/>
      <c r="F362" s="50"/>
      <c r="G362" s="50"/>
      <c r="H362" s="50" t="s">
        <v>126</v>
      </c>
      <c r="I362" s="50"/>
      <c r="J362" s="50"/>
      <c r="K362" s="35" t="n">
        <f aca="false">COUNTA(D362:J362)</f>
        <v>2</v>
      </c>
      <c r="L362" s="34"/>
    </row>
    <row r="363" customFormat="false" ht="15" hidden="false" customHeight="false" outlineLevel="0" collapsed="false">
      <c r="B363" s="48"/>
      <c r="C363" s="49" t="s">
        <v>23</v>
      </c>
      <c r="D363" s="50" t="s">
        <v>126</v>
      </c>
      <c r="E363" s="50"/>
      <c r="F363" s="50"/>
      <c r="G363" s="50"/>
      <c r="H363" s="50"/>
      <c r="I363" s="50"/>
      <c r="J363" s="50"/>
      <c r="K363" s="35" t="n">
        <f aca="false">COUNTA(D363:J363)</f>
        <v>1</v>
      </c>
      <c r="L363" s="34"/>
    </row>
    <row r="364" customFormat="false" ht="15" hidden="false" customHeight="false" outlineLevel="0" collapsed="false">
      <c r="B364" s="48" t="s">
        <v>19</v>
      </c>
      <c r="C364" s="49" t="s">
        <v>11</v>
      </c>
      <c r="D364" s="50"/>
      <c r="E364" s="50"/>
      <c r="F364" s="50"/>
      <c r="G364" s="50"/>
      <c r="H364" s="50"/>
      <c r="I364" s="50"/>
      <c r="J364" s="50" t="s">
        <v>126</v>
      </c>
      <c r="K364" s="35" t="n">
        <f aca="false">COUNTA(D364:J364)</f>
        <v>1</v>
      </c>
      <c r="L364" s="34" t="n">
        <f aca="false">SUM(K364:K366)</f>
        <v>3</v>
      </c>
    </row>
    <row r="365" customFormat="false" ht="15" hidden="false" customHeight="false" outlineLevel="0" collapsed="false">
      <c r="B365" s="48"/>
      <c r="C365" s="49" t="s">
        <v>18</v>
      </c>
      <c r="D365" s="50"/>
      <c r="E365" s="50" t="s">
        <v>126</v>
      </c>
      <c r="F365" s="50"/>
      <c r="G365" s="50"/>
      <c r="H365" s="50" t="s">
        <v>126</v>
      </c>
      <c r="I365" s="50"/>
      <c r="J365" s="50"/>
      <c r="K365" s="35" t="n">
        <f aca="false">COUNTA(D365:J365)</f>
        <v>2</v>
      </c>
      <c r="L365" s="34"/>
    </row>
    <row r="366" customFormat="false" ht="15" hidden="false" customHeight="false" outlineLevel="0" collapsed="false">
      <c r="B366" s="48"/>
      <c r="C366" s="49" t="s">
        <v>23</v>
      </c>
      <c r="D366" s="50"/>
      <c r="E366" s="50"/>
      <c r="F366" s="50"/>
      <c r="G366" s="50"/>
      <c r="H366" s="50"/>
      <c r="I366" s="50"/>
      <c r="J366" s="50"/>
      <c r="K366" s="35" t="n">
        <f aca="false">COUNTA(D366:J366)</f>
        <v>0</v>
      </c>
      <c r="L366" s="34"/>
    </row>
    <row r="367" customFormat="false" ht="15" hidden="false" customHeight="false" outlineLevel="0" collapsed="false">
      <c r="B367" s="48" t="s">
        <v>24</v>
      </c>
      <c r="C367" s="49" t="s">
        <v>11</v>
      </c>
      <c r="D367" s="50"/>
      <c r="E367" s="50"/>
      <c r="F367" s="50"/>
      <c r="G367" s="50"/>
      <c r="H367" s="50"/>
      <c r="I367" s="50"/>
      <c r="J367" s="50"/>
      <c r="K367" s="35" t="n">
        <f aca="false">COUNTA(D367:J367)</f>
        <v>0</v>
      </c>
      <c r="L367" s="34" t="n">
        <f aca="false">SUM(K367:K369)</f>
        <v>2</v>
      </c>
    </row>
    <row r="368" customFormat="false" ht="15" hidden="false" customHeight="false" outlineLevel="0" collapsed="false">
      <c r="B368" s="48"/>
      <c r="C368" s="49" t="s">
        <v>18</v>
      </c>
      <c r="D368" s="50"/>
      <c r="E368" s="50"/>
      <c r="F368" s="50" t="s">
        <v>126</v>
      </c>
      <c r="G368" s="50"/>
      <c r="H368" s="50"/>
      <c r="I368" s="50" t="s">
        <v>126</v>
      </c>
      <c r="J368" s="50"/>
      <c r="K368" s="35" t="n">
        <f aca="false">COUNTA(D368:J368)</f>
        <v>2</v>
      </c>
      <c r="L368" s="34"/>
    </row>
    <row r="369" customFormat="false" ht="15" hidden="false" customHeight="false" outlineLevel="0" collapsed="false">
      <c r="B369" s="48"/>
      <c r="C369" s="49" t="s">
        <v>23</v>
      </c>
      <c r="D369" s="50"/>
      <c r="E369" s="50"/>
      <c r="F369" s="50"/>
      <c r="G369" s="50"/>
      <c r="H369" s="50"/>
      <c r="I369" s="50"/>
      <c r="J369" s="50"/>
      <c r="K369" s="35" t="n">
        <f aca="false">COUNTA(D369:J369)</f>
        <v>0</v>
      </c>
      <c r="L369" s="34"/>
    </row>
    <row r="370" customFormat="false" ht="15" hidden="false" customHeight="false" outlineLevel="0" collapsed="false">
      <c r="B370" s="48" t="s">
        <v>35</v>
      </c>
      <c r="C370" s="49" t="s">
        <v>11</v>
      </c>
      <c r="D370" s="50"/>
      <c r="E370" s="50"/>
      <c r="F370" s="50"/>
      <c r="G370" s="50"/>
      <c r="H370" s="50"/>
      <c r="I370" s="50"/>
      <c r="J370" s="50"/>
      <c r="K370" s="35" t="n">
        <f aca="false">COUNTA(D370:J370)</f>
        <v>0</v>
      </c>
      <c r="L370" s="34" t="n">
        <f aca="false">SUM(K370:K372)</f>
        <v>6</v>
      </c>
    </row>
    <row r="371" customFormat="false" ht="15" hidden="false" customHeight="false" outlineLevel="0" collapsed="false">
      <c r="B371" s="48"/>
      <c r="C371" s="49" t="s">
        <v>18</v>
      </c>
      <c r="D371" s="50"/>
      <c r="E371" s="50"/>
      <c r="F371" s="50" t="s">
        <v>126</v>
      </c>
      <c r="G371" s="50"/>
      <c r="H371" s="50"/>
      <c r="I371" s="50"/>
      <c r="J371" s="50"/>
      <c r="K371" s="35" t="n">
        <f aca="false">COUNTA(D371:J371)</f>
        <v>1</v>
      </c>
      <c r="L371" s="34"/>
    </row>
    <row r="372" customFormat="false" ht="15" hidden="false" customHeight="false" outlineLevel="0" collapsed="false">
      <c r="B372" s="48"/>
      <c r="C372" s="49" t="s">
        <v>23</v>
      </c>
      <c r="D372" s="50" t="s">
        <v>126</v>
      </c>
      <c r="E372" s="50" t="s">
        <v>126</v>
      </c>
      <c r="F372" s="50" t="s">
        <v>126</v>
      </c>
      <c r="G372" s="50" t="s">
        <v>126</v>
      </c>
      <c r="H372" s="50" t="s">
        <v>126</v>
      </c>
      <c r="I372" s="50"/>
      <c r="J372" s="50"/>
      <c r="K372" s="35" t="n">
        <f aca="false">COUNTA(D372:J372)</f>
        <v>5</v>
      </c>
      <c r="L372" s="34"/>
    </row>
    <row r="373" customFormat="false" ht="15" hidden="false" customHeight="false" outlineLevel="0" collapsed="false">
      <c r="B373" s="48" t="s">
        <v>39</v>
      </c>
      <c r="C373" s="49" t="s">
        <v>11</v>
      </c>
      <c r="D373" s="50"/>
      <c r="E373" s="50"/>
      <c r="F373" s="50"/>
      <c r="G373" s="50"/>
      <c r="H373" s="50"/>
      <c r="I373" s="50"/>
      <c r="J373" s="50"/>
      <c r="K373" s="35" t="n">
        <f aca="false">COUNTA(D373:J373)</f>
        <v>0</v>
      </c>
      <c r="L373" s="34" t="n">
        <f aca="false">SUM(K373:K375)</f>
        <v>4</v>
      </c>
    </row>
    <row r="374" customFormat="false" ht="15" hidden="false" customHeight="false" outlineLevel="0" collapsed="false">
      <c r="B374" s="48"/>
      <c r="C374" s="49" t="s">
        <v>18</v>
      </c>
      <c r="D374" s="50"/>
      <c r="E374" s="50"/>
      <c r="F374" s="50"/>
      <c r="G374" s="50"/>
      <c r="H374" s="50"/>
      <c r="I374" s="50"/>
      <c r="J374" s="50"/>
      <c r="K374" s="35" t="n">
        <f aca="false">COUNTA(D374:J374)</f>
        <v>0</v>
      </c>
      <c r="L374" s="34"/>
    </row>
    <row r="375" customFormat="false" ht="15" hidden="false" customHeight="false" outlineLevel="0" collapsed="false">
      <c r="B375" s="48"/>
      <c r="C375" s="49" t="s">
        <v>23</v>
      </c>
      <c r="D375" s="50" t="s">
        <v>126</v>
      </c>
      <c r="E375" s="50"/>
      <c r="F375" s="50" t="s">
        <v>126</v>
      </c>
      <c r="G375" s="50"/>
      <c r="H375" s="50" t="s">
        <v>126</v>
      </c>
      <c r="I375" s="50"/>
      <c r="J375" s="50" t="s">
        <v>126</v>
      </c>
      <c r="K375" s="35" t="n">
        <f aca="false">COUNTA(D375:J375)</f>
        <v>4</v>
      </c>
      <c r="L375" s="34"/>
    </row>
    <row r="376" customFormat="false" ht="15" hidden="false" customHeight="false" outlineLevel="0" collapsed="false">
      <c r="B376" s="48" t="s">
        <v>14</v>
      </c>
      <c r="C376" s="49" t="s">
        <v>11</v>
      </c>
      <c r="D376" s="50"/>
      <c r="E376" s="50"/>
      <c r="F376" s="50"/>
      <c r="G376" s="50"/>
      <c r="H376" s="50"/>
      <c r="I376" s="50"/>
      <c r="J376" s="50"/>
      <c r="K376" s="35" t="n">
        <f aca="false">COUNTA(D376:J376)</f>
        <v>0</v>
      </c>
      <c r="L376" s="34" t="n">
        <f aca="false">SUM(K376:K378)</f>
        <v>5</v>
      </c>
    </row>
    <row r="377" customFormat="false" ht="15" hidden="false" customHeight="false" outlineLevel="0" collapsed="false">
      <c r="B377" s="48"/>
      <c r="C377" s="49" t="s">
        <v>18</v>
      </c>
      <c r="D377" s="50"/>
      <c r="E377" s="50"/>
      <c r="F377" s="50"/>
      <c r="G377" s="50"/>
      <c r="H377" s="50"/>
      <c r="I377" s="50"/>
      <c r="J377" s="50"/>
      <c r="K377" s="35" t="n">
        <f aca="false">COUNTA(D377:J377)</f>
        <v>0</v>
      </c>
      <c r="L377" s="34"/>
    </row>
    <row r="378" customFormat="false" ht="15" hidden="false" customHeight="false" outlineLevel="0" collapsed="false">
      <c r="B378" s="48"/>
      <c r="C378" s="49" t="s">
        <v>23</v>
      </c>
      <c r="D378" s="50" t="s">
        <v>126</v>
      </c>
      <c r="E378" s="50" t="s">
        <v>126</v>
      </c>
      <c r="F378" s="50"/>
      <c r="G378" s="50" t="s">
        <v>126</v>
      </c>
      <c r="H378" s="50"/>
      <c r="I378" s="50" t="s">
        <v>126</v>
      </c>
      <c r="J378" s="50" t="s">
        <v>126</v>
      </c>
      <c r="K378" s="35" t="n">
        <f aca="false">COUNTA(D378:J378)</f>
        <v>5</v>
      </c>
      <c r="L378" s="34"/>
    </row>
    <row r="379" customFormat="false" ht="15" hidden="false" customHeight="false" outlineLevel="0" collapsed="false">
      <c r="B379" s="48" t="s">
        <v>45</v>
      </c>
      <c r="C379" s="49" t="s">
        <v>11</v>
      </c>
      <c r="D379" s="50"/>
      <c r="E379" s="50"/>
      <c r="F379" s="50"/>
      <c r="G379" s="50"/>
      <c r="H379" s="50"/>
      <c r="I379" s="50"/>
      <c r="J379" s="50"/>
      <c r="K379" s="35" t="n">
        <f aca="false">COUNTA(D379:J379)</f>
        <v>0</v>
      </c>
      <c r="L379" s="34" t="n">
        <f aca="false">SUM(K379:K381)</f>
        <v>3</v>
      </c>
    </row>
    <row r="380" customFormat="false" ht="15" hidden="false" customHeight="false" outlineLevel="0" collapsed="false">
      <c r="B380" s="48"/>
      <c r="C380" s="49" t="s">
        <v>18</v>
      </c>
      <c r="D380" s="50"/>
      <c r="E380" s="50"/>
      <c r="F380" s="50"/>
      <c r="G380" s="50"/>
      <c r="H380" s="50"/>
      <c r="I380" s="50"/>
      <c r="J380" s="50"/>
      <c r="K380" s="35" t="n">
        <f aca="false">COUNTA(D380:J380)</f>
        <v>0</v>
      </c>
      <c r="L380" s="34"/>
    </row>
    <row r="381" customFormat="false" ht="15" hidden="false" customHeight="false" outlineLevel="0" collapsed="false">
      <c r="B381" s="48"/>
      <c r="C381" s="49" t="s">
        <v>23</v>
      </c>
      <c r="D381" s="50"/>
      <c r="E381" s="50" t="s">
        <v>126</v>
      </c>
      <c r="F381" s="50"/>
      <c r="G381" s="50" t="s">
        <v>126</v>
      </c>
      <c r="H381" s="50"/>
      <c r="I381" s="50" t="s">
        <v>126</v>
      </c>
      <c r="J381" s="50"/>
      <c r="K381" s="35" t="n">
        <f aca="false">COUNTA(D381:J381)</f>
        <v>3</v>
      </c>
      <c r="L381" s="34"/>
    </row>
    <row r="382" customFormat="false" ht="15" hidden="false" customHeight="false" outlineLevel="0" collapsed="false">
      <c r="B382" s="48" t="s">
        <v>48</v>
      </c>
      <c r="C382" s="49" t="s">
        <v>11</v>
      </c>
      <c r="D382" s="50"/>
      <c r="E382" s="50"/>
      <c r="F382" s="50"/>
      <c r="G382" s="50"/>
      <c r="H382" s="50"/>
      <c r="I382" s="50"/>
      <c r="J382" s="50"/>
      <c r="K382" s="35" t="n">
        <f aca="false">COUNTA(D382:J382)</f>
        <v>0</v>
      </c>
      <c r="L382" s="34" t="n">
        <f aca="false">SUM(K382:K384)</f>
        <v>2</v>
      </c>
    </row>
    <row r="383" customFormat="false" ht="15" hidden="false" customHeight="false" outlineLevel="0" collapsed="false">
      <c r="B383" s="48"/>
      <c r="C383" s="49" t="s">
        <v>18</v>
      </c>
      <c r="D383" s="50" t="s">
        <v>126</v>
      </c>
      <c r="E383" s="50"/>
      <c r="F383" s="50"/>
      <c r="G383" s="50"/>
      <c r="H383" s="50" t="s">
        <v>126</v>
      </c>
      <c r="I383" s="50"/>
      <c r="J383" s="50"/>
      <c r="K383" s="35" t="n">
        <f aca="false">COUNTA(D383:J383)</f>
        <v>2</v>
      </c>
      <c r="L383" s="34"/>
    </row>
    <row r="384" customFormat="false" ht="15" hidden="false" customHeight="false" outlineLevel="0" collapsed="false">
      <c r="B384" s="48"/>
      <c r="C384" s="49" t="s">
        <v>23</v>
      </c>
      <c r="D384" s="50"/>
      <c r="E384" s="50"/>
      <c r="F384" s="50"/>
      <c r="G384" s="50"/>
      <c r="H384" s="50"/>
      <c r="I384" s="50"/>
      <c r="J384" s="50"/>
      <c r="K384" s="35" t="n">
        <f aca="false">COUNTA(D384:J384)</f>
        <v>0</v>
      </c>
      <c r="L384" s="34"/>
    </row>
    <row r="385" customFormat="false" ht="15" hidden="false" customHeight="false" outlineLevel="0" collapsed="false">
      <c r="B385" s="48" t="s">
        <v>52</v>
      </c>
      <c r="C385" s="49" t="s">
        <v>11</v>
      </c>
      <c r="D385" s="50"/>
      <c r="E385" s="50"/>
      <c r="F385" s="50"/>
      <c r="G385" s="50"/>
      <c r="H385" s="50"/>
      <c r="I385" s="50"/>
      <c r="J385" s="50"/>
      <c r="K385" s="35" t="n">
        <f aca="false">COUNTA(D385:J385)</f>
        <v>0</v>
      </c>
      <c r="L385" s="34" t="n">
        <f aca="false">SUM(K385:K387)</f>
        <v>1</v>
      </c>
    </row>
    <row r="386" customFormat="false" ht="15" hidden="false" customHeight="false" outlineLevel="0" collapsed="false">
      <c r="B386" s="48"/>
      <c r="C386" s="49" t="s">
        <v>18</v>
      </c>
      <c r="D386" s="50"/>
      <c r="E386" s="50"/>
      <c r="F386" s="50"/>
      <c r="G386" s="50" t="s">
        <v>126</v>
      </c>
      <c r="H386" s="50"/>
      <c r="I386" s="50"/>
      <c r="J386" s="50"/>
      <c r="K386" s="35" t="n">
        <f aca="false">COUNTA(D386:J386)</f>
        <v>1</v>
      </c>
      <c r="L386" s="34"/>
    </row>
    <row r="387" customFormat="false" ht="15" hidden="false" customHeight="false" outlineLevel="0" collapsed="false">
      <c r="B387" s="48"/>
      <c r="C387" s="49" t="s">
        <v>23</v>
      </c>
      <c r="D387" s="50"/>
      <c r="E387" s="50"/>
      <c r="F387" s="50"/>
      <c r="G387" s="50"/>
      <c r="H387" s="50"/>
      <c r="I387" s="50"/>
      <c r="J387" s="50"/>
      <c r="K387" s="35" t="n">
        <f aca="false">COUNTA(D387:J387)</f>
        <v>0</v>
      </c>
      <c r="L387" s="34"/>
    </row>
    <row r="388" customFormat="false" ht="15" hidden="false" customHeight="false" outlineLevel="0" collapsed="false">
      <c r="B388" s="48" t="s">
        <v>55</v>
      </c>
      <c r="C388" s="49" t="s">
        <v>11</v>
      </c>
      <c r="D388" s="50"/>
      <c r="E388" s="50"/>
      <c r="F388" s="50"/>
      <c r="G388" s="50"/>
      <c r="H388" s="50"/>
      <c r="I388" s="50"/>
      <c r="J388" s="50"/>
      <c r="K388" s="35" t="n">
        <f aca="false">COUNTA(D388:J388)</f>
        <v>0</v>
      </c>
      <c r="L388" s="34" t="n">
        <f aca="false">SUM(K388:K390)</f>
        <v>2</v>
      </c>
    </row>
    <row r="389" customFormat="false" ht="15" hidden="false" customHeight="false" outlineLevel="0" collapsed="false">
      <c r="B389" s="48"/>
      <c r="C389" s="49" t="s">
        <v>18</v>
      </c>
      <c r="D389" s="50"/>
      <c r="E389" s="50"/>
      <c r="F389" s="50"/>
      <c r="G389" s="50"/>
      <c r="H389" s="50"/>
      <c r="I389" s="50"/>
      <c r="J389" s="50"/>
      <c r="K389" s="35" t="n">
        <f aca="false">COUNTA(D389:J389)</f>
        <v>0</v>
      </c>
      <c r="L389" s="34"/>
    </row>
    <row r="390" customFormat="false" ht="15" hidden="false" customHeight="false" outlineLevel="0" collapsed="false">
      <c r="B390" s="48"/>
      <c r="C390" s="49" t="s">
        <v>23</v>
      </c>
      <c r="D390" s="50"/>
      <c r="E390" s="50" t="s">
        <v>126</v>
      </c>
      <c r="F390" s="50"/>
      <c r="G390" s="50"/>
      <c r="H390" s="50"/>
      <c r="I390" s="50" t="s">
        <v>126</v>
      </c>
      <c r="J390" s="50"/>
      <c r="K390" s="35" t="n">
        <f aca="false">COUNTA(D390:J390)</f>
        <v>2</v>
      </c>
      <c r="L390" s="34"/>
    </row>
    <row r="391" customFormat="false" ht="15" hidden="false" customHeight="false" outlineLevel="0" collapsed="false">
      <c r="B391" s="48" t="s">
        <v>58</v>
      </c>
      <c r="C391" s="49" t="s">
        <v>11</v>
      </c>
      <c r="D391" s="50"/>
      <c r="E391" s="50"/>
      <c r="F391" s="50"/>
      <c r="G391" s="50"/>
      <c r="H391" s="50"/>
      <c r="I391" s="50"/>
      <c r="J391" s="50"/>
      <c r="K391" s="35" t="n">
        <f aca="false">COUNTA(D391:J391)</f>
        <v>0</v>
      </c>
      <c r="L391" s="34" t="n">
        <f aca="false">SUM(K391:K393)</f>
        <v>6</v>
      </c>
    </row>
    <row r="392" customFormat="false" ht="15" hidden="false" customHeight="false" outlineLevel="0" collapsed="false">
      <c r="B392" s="48"/>
      <c r="C392" s="49" t="s">
        <v>18</v>
      </c>
      <c r="D392" s="50"/>
      <c r="E392" s="50"/>
      <c r="F392" s="50"/>
      <c r="G392" s="50"/>
      <c r="H392" s="50"/>
      <c r="I392" s="50"/>
      <c r="J392" s="50"/>
      <c r="K392" s="35" t="n">
        <f aca="false">COUNTA(D392:J392)</f>
        <v>0</v>
      </c>
      <c r="L392" s="34"/>
    </row>
    <row r="393" customFormat="false" ht="15" hidden="false" customHeight="false" outlineLevel="0" collapsed="false">
      <c r="B393" s="48"/>
      <c r="C393" s="49" t="s">
        <v>23</v>
      </c>
      <c r="D393" s="50" t="s">
        <v>126</v>
      </c>
      <c r="E393" s="50" t="s">
        <v>126</v>
      </c>
      <c r="F393" s="50" t="s">
        <v>126</v>
      </c>
      <c r="G393" s="50" t="s">
        <v>126</v>
      </c>
      <c r="H393" s="50" t="s">
        <v>126</v>
      </c>
      <c r="I393" s="50" t="s">
        <v>126</v>
      </c>
      <c r="J393" s="50"/>
      <c r="K393" s="35" t="n">
        <f aca="false">COUNTA(D393:J393)</f>
        <v>6</v>
      </c>
      <c r="L393" s="34"/>
    </row>
    <row r="394" customFormat="false" ht="15" hidden="false" customHeight="false" outlineLevel="0" collapsed="false">
      <c r="B394" s="48" t="s">
        <v>61</v>
      </c>
      <c r="C394" s="49" t="s">
        <v>11</v>
      </c>
      <c r="D394" s="50"/>
      <c r="E394" s="50"/>
      <c r="F394" s="50"/>
      <c r="G394" s="50"/>
      <c r="H394" s="50"/>
      <c r="I394" s="50"/>
      <c r="J394" s="50"/>
      <c r="K394" s="35" t="n">
        <f aca="false">COUNTA(D394:J394)</f>
        <v>0</v>
      </c>
      <c r="L394" s="34" t="n">
        <f aca="false">SUM(K394:K396)</f>
        <v>2</v>
      </c>
    </row>
    <row r="395" customFormat="false" ht="15" hidden="false" customHeight="false" outlineLevel="0" collapsed="false">
      <c r="B395" s="48"/>
      <c r="C395" s="49" t="s">
        <v>18</v>
      </c>
      <c r="D395" s="50"/>
      <c r="E395" s="50"/>
      <c r="F395" s="50"/>
      <c r="G395" s="50"/>
      <c r="H395" s="50"/>
      <c r="I395" s="50"/>
      <c r="J395" s="50"/>
      <c r="K395" s="35" t="n">
        <f aca="false">COUNTA(D395:J395)</f>
        <v>0</v>
      </c>
      <c r="L395" s="34"/>
    </row>
    <row r="396" customFormat="false" ht="15" hidden="false" customHeight="false" outlineLevel="0" collapsed="false">
      <c r="B396" s="48"/>
      <c r="C396" s="49" t="s">
        <v>23</v>
      </c>
      <c r="D396" s="50"/>
      <c r="E396" s="50"/>
      <c r="F396" s="50" t="s">
        <v>126</v>
      </c>
      <c r="G396" s="50"/>
      <c r="H396" s="50"/>
      <c r="I396" s="50"/>
      <c r="J396" s="50" t="s">
        <v>126</v>
      </c>
      <c r="K396" s="35" t="n">
        <f aca="false">COUNTA(D396:J396)</f>
        <v>2</v>
      </c>
      <c r="L396" s="34"/>
    </row>
    <row r="398" customFormat="false" ht="19.5" hidden="false" customHeight="true" outlineLevel="0" collapsed="false">
      <c r="B398" s="41" t="str">
        <f aca="false">"TABLEAU 10/12  -  PROGRAMME DE JANVIER 2028"&amp;IF($C$4="janvier 2028","          &lt;&lt;&lt; MOIS ACTUELLEMENT FILTRE","")</f>
        <v>TABLEAU 10/12  -  PROGRAMME DE JANVIER 2028</v>
      </c>
      <c r="C398" s="41"/>
      <c r="D398" s="41"/>
      <c r="E398" s="41"/>
      <c r="F398" s="41"/>
      <c r="G398" s="41"/>
      <c r="H398" s="41"/>
      <c r="I398" s="41"/>
      <c r="J398" s="41"/>
      <c r="K398" s="46" t="s">
        <v>120</v>
      </c>
    </row>
    <row r="399" customFormat="false" ht="25.5" hidden="false" customHeight="true" outlineLevel="0" collapsed="false">
      <c r="B399" s="47" t="s">
        <v>82</v>
      </c>
      <c r="C399" s="47" t="s">
        <v>122</v>
      </c>
      <c r="D399" s="47" t="s">
        <v>26</v>
      </c>
      <c r="E399" s="47" t="s">
        <v>27</v>
      </c>
      <c r="F399" s="47" t="s">
        <v>28</v>
      </c>
      <c r="G399" s="47" t="s">
        <v>29</v>
      </c>
      <c r="H399" s="47" t="s">
        <v>30</v>
      </c>
      <c r="I399" s="47" t="s">
        <v>31</v>
      </c>
      <c r="J399" s="47" t="s">
        <v>32</v>
      </c>
      <c r="K399" s="47" t="s">
        <v>123</v>
      </c>
      <c r="L399" s="47" t="s">
        <v>124</v>
      </c>
    </row>
    <row r="400" customFormat="false" ht="15" hidden="false" customHeight="false" outlineLevel="0" collapsed="false">
      <c r="B400" s="48" t="s">
        <v>12</v>
      </c>
      <c r="C400" s="49" t="s">
        <v>11</v>
      </c>
      <c r="D400" s="50" t="s">
        <v>126</v>
      </c>
      <c r="E400" s="50" t="s">
        <v>126</v>
      </c>
      <c r="F400" s="50" t="s">
        <v>126</v>
      </c>
      <c r="G400" s="50" t="s">
        <v>126</v>
      </c>
      <c r="H400" s="50" t="s">
        <v>126</v>
      </c>
      <c r="I400" s="50" t="s">
        <v>126</v>
      </c>
      <c r="J400" s="50" t="s">
        <v>126</v>
      </c>
      <c r="K400" s="35" t="n">
        <f aca="false">COUNTA(D400:J400)</f>
        <v>7</v>
      </c>
      <c r="L400" s="34" t="n">
        <f aca="false">SUM(K400:K402)</f>
        <v>10</v>
      </c>
    </row>
    <row r="401" customFormat="false" ht="15" hidden="false" customHeight="false" outlineLevel="0" collapsed="false">
      <c r="B401" s="48"/>
      <c r="C401" s="49" t="s">
        <v>18</v>
      </c>
      <c r="D401" s="50" t="s">
        <v>126</v>
      </c>
      <c r="E401" s="50"/>
      <c r="F401" s="50"/>
      <c r="G401" s="50"/>
      <c r="H401" s="50" t="s">
        <v>126</v>
      </c>
      <c r="I401" s="50"/>
      <c r="J401" s="50"/>
      <c r="K401" s="35" t="n">
        <f aca="false">COUNTA(D401:J401)</f>
        <v>2</v>
      </c>
      <c r="L401" s="34"/>
    </row>
    <row r="402" customFormat="false" ht="15" hidden="false" customHeight="false" outlineLevel="0" collapsed="false">
      <c r="B402" s="48"/>
      <c r="C402" s="49" t="s">
        <v>23</v>
      </c>
      <c r="D402" s="50" t="s">
        <v>126</v>
      </c>
      <c r="E402" s="50"/>
      <c r="F402" s="50"/>
      <c r="G402" s="50"/>
      <c r="H402" s="50"/>
      <c r="I402" s="50"/>
      <c r="J402" s="50"/>
      <c r="K402" s="35" t="n">
        <f aca="false">COUNTA(D402:J402)</f>
        <v>1</v>
      </c>
      <c r="L402" s="34"/>
    </row>
    <row r="403" customFormat="false" ht="15" hidden="false" customHeight="false" outlineLevel="0" collapsed="false">
      <c r="B403" s="48" t="s">
        <v>19</v>
      </c>
      <c r="C403" s="49" t="s">
        <v>11</v>
      </c>
      <c r="D403" s="50"/>
      <c r="E403" s="50"/>
      <c r="F403" s="50"/>
      <c r="G403" s="50"/>
      <c r="H403" s="50"/>
      <c r="I403" s="50"/>
      <c r="J403" s="50" t="s">
        <v>126</v>
      </c>
      <c r="K403" s="35" t="n">
        <f aca="false">COUNTA(D403:J403)</f>
        <v>1</v>
      </c>
      <c r="L403" s="34" t="n">
        <f aca="false">SUM(K403:K405)</f>
        <v>3</v>
      </c>
    </row>
    <row r="404" customFormat="false" ht="15" hidden="false" customHeight="false" outlineLevel="0" collapsed="false">
      <c r="B404" s="48"/>
      <c r="C404" s="49" t="s">
        <v>18</v>
      </c>
      <c r="D404" s="50"/>
      <c r="E404" s="50" t="s">
        <v>126</v>
      </c>
      <c r="F404" s="50"/>
      <c r="G404" s="50"/>
      <c r="H404" s="50" t="s">
        <v>126</v>
      </c>
      <c r="I404" s="50"/>
      <c r="J404" s="50"/>
      <c r="K404" s="35" t="n">
        <f aca="false">COUNTA(D404:J404)</f>
        <v>2</v>
      </c>
      <c r="L404" s="34"/>
    </row>
    <row r="405" customFormat="false" ht="15" hidden="false" customHeight="false" outlineLevel="0" collapsed="false">
      <c r="B405" s="48"/>
      <c r="C405" s="49" t="s">
        <v>23</v>
      </c>
      <c r="D405" s="50"/>
      <c r="E405" s="50"/>
      <c r="F405" s="50"/>
      <c r="G405" s="50"/>
      <c r="H405" s="50"/>
      <c r="I405" s="50"/>
      <c r="J405" s="50"/>
      <c r="K405" s="35" t="n">
        <f aca="false">COUNTA(D405:J405)</f>
        <v>0</v>
      </c>
      <c r="L405" s="34"/>
    </row>
    <row r="406" customFormat="false" ht="15" hidden="false" customHeight="false" outlineLevel="0" collapsed="false">
      <c r="B406" s="48" t="s">
        <v>24</v>
      </c>
      <c r="C406" s="49" t="s">
        <v>11</v>
      </c>
      <c r="D406" s="50"/>
      <c r="E406" s="50"/>
      <c r="F406" s="50"/>
      <c r="G406" s="50"/>
      <c r="H406" s="50"/>
      <c r="I406" s="50"/>
      <c r="J406" s="50"/>
      <c r="K406" s="35" t="n">
        <f aca="false">COUNTA(D406:J406)</f>
        <v>0</v>
      </c>
      <c r="L406" s="34" t="n">
        <f aca="false">SUM(K406:K408)</f>
        <v>2</v>
      </c>
    </row>
    <row r="407" customFormat="false" ht="15" hidden="false" customHeight="false" outlineLevel="0" collapsed="false">
      <c r="B407" s="48"/>
      <c r="C407" s="49" t="s">
        <v>18</v>
      </c>
      <c r="D407" s="50"/>
      <c r="E407" s="50"/>
      <c r="F407" s="50" t="s">
        <v>126</v>
      </c>
      <c r="G407" s="50"/>
      <c r="H407" s="50"/>
      <c r="I407" s="50" t="s">
        <v>126</v>
      </c>
      <c r="J407" s="50"/>
      <c r="K407" s="35" t="n">
        <f aca="false">COUNTA(D407:J407)</f>
        <v>2</v>
      </c>
      <c r="L407" s="34"/>
    </row>
    <row r="408" customFormat="false" ht="15" hidden="false" customHeight="false" outlineLevel="0" collapsed="false">
      <c r="B408" s="48"/>
      <c r="C408" s="49" t="s">
        <v>23</v>
      </c>
      <c r="D408" s="50"/>
      <c r="E408" s="50"/>
      <c r="F408" s="50"/>
      <c r="G408" s="50"/>
      <c r="H408" s="50"/>
      <c r="I408" s="50"/>
      <c r="J408" s="50"/>
      <c r="K408" s="35" t="n">
        <f aca="false">COUNTA(D408:J408)</f>
        <v>0</v>
      </c>
      <c r="L408" s="34"/>
    </row>
    <row r="409" customFormat="false" ht="15" hidden="false" customHeight="false" outlineLevel="0" collapsed="false">
      <c r="B409" s="48" t="s">
        <v>35</v>
      </c>
      <c r="C409" s="49" t="s">
        <v>11</v>
      </c>
      <c r="D409" s="50"/>
      <c r="E409" s="50"/>
      <c r="F409" s="50"/>
      <c r="G409" s="50"/>
      <c r="H409" s="50"/>
      <c r="I409" s="50"/>
      <c r="J409" s="50"/>
      <c r="K409" s="35" t="n">
        <f aca="false">COUNTA(D409:J409)</f>
        <v>0</v>
      </c>
      <c r="L409" s="34" t="n">
        <f aca="false">SUM(K409:K411)</f>
        <v>6</v>
      </c>
    </row>
    <row r="410" customFormat="false" ht="15" hidden="false" customHeight="false" outlineLevel="0" collapsed="false">
      <c r="B410" s="48"/>
      <c r="C410" s="49" t="s">
        <v>18</v>
      </c>
      <c r="D410" s="50"/>
      <c r="E410" s="50"/>
      <c r="F410" s="50" t="s">
        <v>126</v>
      </c>
      <c r="G410" s="50"/>
      <c r="H410" s="50"/>
      <c r="I410" s="50"/>
      <c r="J410" s="50"/>
      <c r="K410" s="35" t="n">
        <f aca="false">COUNTA(D410:J410)</f>
        <v>1</v>
      </c>
      <c r="L410" s="34"/>
    </row>
    <row r="411" customFormat="false" ht="15" hidden="false" customHeight="false" outlineLevel="0" collapsed="false">
      <c r="B411" s="48"/>
      <c r="C411" s="49" t="s">
        <v>23</v>
      </c>
      <c r="D411" s="50" t="s">
        <v>126</v>
      </c>
      <c r="E411" s="50" t="s">
        <v>126</v>
      </c>
      <c r="F411" s="50" t="s">
        <v>126</v>
      </c>
      <c r="G411" s="50" t="s">
        <v>126</v>
      </c>
      <c r="H411" s="50" t="s">
        <v>126</v>
      </c>
      <c r="I411" s="50"/>
      <c r="J411" s="50"/>
      <c r="K411" s="35" t="n">
        <f aca="false">COUNTA(D411:J411)</f>
        <v>5</v>
      </c>
      <c r="L411" s="34"/>
    </row>
    <row r="412" customFormat="false" ht="15" hidden="false" customHeight="false" outlineLevel="0" collapsed="false">
      <c r="B412" s="48" t="s">
        <v>39</v>
      </c>
      <c r="C412" s="49" t="s">
        <v>11</v>
      </c>
      <c r="D412" s="50"/>
      <c r="E412" s="50"/>
      <c r="F412" s="50"/>
      <c r="G412" s="50"/>
      <c r="H412" s="50"/>
      <c r="I412" s="50"/>
      <c r="J412" s="50"/>
      <c r="K412" s="35" t="n">
        <f aca="false">COUNTA(D412:J412)</f>
        <v>0</v>
      </c>
      <c r="L412" s="34" t="n">
        <f aca="false">SUM(K412:K414)</f>
        <v>4</v>
      </c>
    </row>
    <row r="413" customFormat="false" ht="15" hidden="false" customHeight="false" outlineLevel="0" collapsed="false">
      <c r="B413" s="48"/>
      <c r="C413" s="49" t="s">
        <v>18</v>
      </c>
      <c r="D413" s="50"/>
      <c r="E413" s="50"/>
      <c r="F413" s="50"/>
      <c r="G413" s="50"/>
      <c r="H413" s="50"/>
      <c r="I413" s="50"/>
      <c r="J413" s="50"/>
      <c r="K413" s="35" t="n">
        <f aca="false">COUNTA(D413:J413)</f>
        <v>0</v>
      </c>
      <c r="L413" s="34"/>
    </row>
    <row r="414" customFormat="false" ht="15" hidden="false" customHeight="false" outlineLevel="0" collapsed="false">
      <c r="B414" s="48"/>
      <c r="C414" s="49" t="s">
        <v>23</v>
      </c>
      <c r="D414" s="50" t="s">
        <v>126</v>
      </c>
      <c r="E414" s="50"/>
      <c r="F414" s="50" t="s">
        <v>126</v>
      </c>
      <c r="G414" s="50"/>
      <c r="H414" s="50" t="s">
        <v>126</v>
      </c>
      <c r="I414" s="50"/>
      <c r="J414" s="50" t="s">
        <v>126</v>
      </c>
      <c r="K414" s="35" t="n">
        <f aca="false">COUNTA(D414:J414)</f>
        <v>4</v>
      </c>
      <c r="L414" s="34"/>
    </row>
    <row r="415" customFormat="false" ht="15" hidden="false" customHeight="false" outlineLevel="0" collapsed="false">
      <c r="B415" s="48" t="s">
        <v>14</v>
      </c>
      <c r="C415" s="49" t="s">
        <v>11</v>
      </c>
      <c r="D415" s="50"/>
      <c r="E415" s="50"/>
      <c r="F415" s="50"/>
      <c r="G415" s="50"/>
      <c r="H415" s="50"/>
      <c r="I415" s="50"/>
      <c r="J415" s="50"/>
      <c r="K415" s="35" t="n">
        <f aca="false">COUNTA(D415:J415)</f>
        <v>0</v>
      </c>
      <c r="L415" s="34" t="n">
        <f aca="false">SUM(K415:K417)</f>
        <v>3</v>
      </c>
    </row>
    <row r="416" customFormat="false" ht="15" hidden="false" customHeight="false" outlineLevel="0" collapsed="false">
      <c r="B416" s="48"/>
      <c r="C416" s="49" t="s">
        <v>18</v>
      </c>
      <c r="D416" s="50"/>
      <c r="E416" s="50"/>
      <c r="F416" s="50"/>
      <c r="G416" s="50"/>
      <c r="H416" s="50"/>
      <c r="I416" s="50"/>
      <c r="J416" s="50"/>
      <c r="K416" s="35" t="n">
        <f aca="false">COUNTA(D416:J416)</f>
        <v>0</v>
      </c>
      <c r="L416" s="34"/>
    </row>
    <row r="417" customFormat="false" ht="15" hidden="false" customHeight="false" outlineLevel="0" collapsed="false">
      <c r="B417" s="48"/>
      <c r="C417" s="49" t="s">
        <v>23</v>
      </c>
      <c r="D417" s="50" t="s">
        <v>126</v>
      </c>
      <c r="E417" s="50"/>
      <c r="F417" s="50"/>
      <c r="G417" s="50" t="s">
        <v>126</v>
      </c>
      <c r="H417" s="50"/>
      <c r="I417" s="50" t="s">
        <v>126</v>
      </c>
      <c r="J417" s="50"/>
      <c r="K417" s="35" t="n">
        <f aca="false">COUNTA(D417:J417)</f>
        <v>3</v>
      </c>
      <c r="L417" s="34"/>
    </row>
    <row r="418" customFormat="false" ht="15" hidden="false" customHeight="false" outlineLevel="0" collapsed="false">
      <c r="B418" s="48" t="s">
        <v>45</v>
      </c>
      <c r="C418" s="49" t="s">
        <v>11</v>
      </c>
      <c r="D418" s="50"/>
      <c r="E418" s="50"/>
      <c r="F418" s="50"/>
      <c r="G418" s="50"/>
      <c r="H418" s="50"/>
      <c r="I418" s="50"/>
      <c r="J418" s="50"/>
      <c r="K418" s="35" t="n">
        <f aca="false">COUNTA(D418:J418)</f>
        <v>0</v>
      </c>
      <c r="L418" s="34" t="n">
        <f aca="false">SUM(K418:K420)</f>
        <v>3</v>
      </c>
    </row>
    <row r="419" customFormat="false" ht="15" hidden="false" customHeight="false" outlineLevel="0" collapsed="false">
      <c r="B419" s="48"/>
      <c r="C419" s="49" t="s">
        <v>18</v>
      </c>
      <c r="D419" s="50"/>
      <c r="E419" s="50"/>
      <c r="F419" s="50"/>
      <c r="G419" s="50"/>
      <c r="H419" s="50"/>
      <c r="I419" s="50"/>
      <c r="J419" s="50"/>
      <c r="K419" s="35" t="n">
        <f aca="false">COUNTA(D419:J419)</f>
        <v>0</v>
      </c>
      <c r="L419" s="34"/>
    </row>
    <row r="420" customFormat="false" ht="15" hidden="false" customHeight="false" outlineLevel="0" collapsed="false">
      <c r="B420" s="48"/>
      <c r="C420" s="49" t="s">
        <v>23</v>
      </c>
      <c r="D420" s="50"/>
      <c r="E420" s="50" t="s">
        <v>126</v>
      </c>
      <c r="F420" s="50"/>
      <c r="G420" s="50" t="s">
        <v>126</v>
      </c>
      <c r="H420" s="50"/>
      <c r="I420" s="50" t="s">
        <v>126</v>
      </c>
      <c r="J420" s="50"/>
      <c r="K420" s="35" t="n">
        <f aca="false">COUNTA(D420:J420)</f>
        <v>3</v>
      </c>
      <c r="L420" s="34"/>
    </row>
    <row r="421" customFormat="false" ht="15" hidden="false" customHeight="false" outlineLevel="0" collapsed="false">
      <c r="B421" s="48" t="s">
        <v>48</v>
      </c>
      <c r="C421" s="49" t="s">
        <v>11</v>
      </c>
      <c r="D421" s="50"/>
      <c r="E421" s="50"/>
      <c r="F421" s="50"/>
      <c r="G421" s="50"/>
      <c r="H421" s="50"/>
      <c r="I421" s="50"/>
      <c r="J421" s="50"/>
      <c r="K421" s="35" t="n">
        <f aca="false">COUNTA(D421:J421)</f>
        <v>0</v>
      </c>
      <c r="L421" s="34" t="n">
        <f aca="false">SUM(K421:K423)</f>
        <v>2</v>
      </c>
    </row>
    <row r="422" customFormat="false" ht="15" hidden="false" customHeight="false" outlineLevel="0" collapsed="false">
      <c r="B422" s="48"/>
      <c r="C422" s="49" t="s">
        <v>18</v>
      </c>
      <c r="D422" s="50" t="s">
        <v>126</v>
      </c>
      <c r="E422" s="50"/>
      <c r="F422" s="50"/>
      <c r="G422" s="50"/>
      <c r="H422" s="50" t="s">
        <v>126</v>
      </c>
      <c r="I422" s="50"/>
      <c r="J422" s="50"/>
      <c r="K422" s="35" t="n">
        <f aca="false">COUNTA(D422:J422)</f>
        <v>2</v>
      </c>
      <c r="L422" s="34"/>
    </row>
    <row r="423" customFormat="false" ht="15" hidden="false" customHeight="false" outlineLevel="0" collapsed="false">
      <c r="B423" s="48"/>
      <c r="C423" s="49" t="s">
        <v>23</v>
      </c>
      <c r="D423" s="50"/>
      <c r="E423" s="50"/>
      <c r="F423" s="50"/>
      <c r="G423" s="50"/>
      <c r="H423" s="50"/>
      <c r="I423" s="50"/>
      <c r="J423" s="50"/>
      <c r="K423" s="35" t="n">
        <f aca="false">COUNTA(D423:J423)</f>
        <v>0</v>
      </c>
      <c r="L423" s="34"/>
    </row>
    <row r="424" customFormat="false" ht="15" hidden="false" customHeight="false" outlineLevel="0" collapsed="false">
      <c r="B424" s="48" t="s">
        <v>52</v>
      </c>
      <c r="C424" s="49" t="s">
        <v>11</v>
      </c>
      <c r="D424" s="50"/>
      <c r="E424" s="50"/>
      <c r="F424" s="50"/>
      <c r="G424" s="50"/>
      <c r="H424" s="50"/>
      <c r="I424" s="50"/>
      <c r="J424" s="50"/>
      <c r="K424" s="35" t="n">
        <f aca="false">COUNTA(D424:J424)</f>
        <v>0</v>
      </c>
      <c r="L424" s="34" t="n">
        <f aca="false">SUM(K424:K426)</f>
        <v>1</v>
      </c>
    </row>
    <row r="425" customFormat="false" ht="15" hidden="false" customHeight="false" outlineLevel="0" collapsed="false">
      <c r="B425" s="48"/>
      <c r="C425" s="49" t="s">
        <v>18</v>
      </c>
      <c r="D425" s="50"/>
      <c r="E425" s="50"/>
      <c r="F425" s="50"/>
      <c r="G425" s="50" t="s">
        <v>126</v>
      </c>
      <c r="H425" s="50"/>
      <c r="I425" s="50"/>
      <c r="J425" s="50"/>
      <c r="K425" s="35" t="n">
        <f aca="false">COUNTA(D425:J425)</f>
        <v>1</v>
      </c>
      <c r="L425" s="34"/>
    </row>
    <row r="426" customFormat="false" ht="15" hidden="false" customHeight="false" outlineLevel="0" collapsed="false">
      <c r="B426" s="48"/>
      <c r="C426" s="49" t="s">
        <v>23</v>
      </c>
      <c r="D426" s="50"/>
      <c r="E426" s="50"/>
      <c r="F426" s="50"/>
      <c r="G426" s="50"/>
      <c r="H426" s="50"/>
      <c r="I426" s="50"/>
      <c r="J426" s="50"/>
      <c r="K426" s="35" t="n">
        <f aca="false">COUNTA(D426:J426)</f>
        <v>0</v>
      </c>
      <c r="L426" s="34"/>
    </row>
    <row r="427" customFormat="false" ht="15" hidden="false" customHeight="false" outlineLevel="0" collapsed="false">
      <c r="B427" s="48" t="s">
        <v>55</v>
      </c>
      <c r="C427" s="49" t="s">
        <v>11</v>
      </c>
      <c r="D427" s="50"/>
      <c r="E427" s="50"/>
      <c r="F427" s="50"/>
      <c r="G427" s="50"/>
      <c r="H427" s="50"/>
      <c r="I427" s="50"/>
      <c r="J427" s="50"/>
      <c r="K427" s="35" t="n">
        <f aca="false">COUNTA(D427:J427)</f>
        <v>0</v>
      </c>
      <c r="L427" s="34" t="n">
        <f aca="false">SUM(K427:K429)</f>
        <v>2</v>
      </c>
    </row>
    <row r="428" customFormat="false" ht="15" hidden="false" customHeight="false" outlineLevel="0" collapsed="false">
      <c r="B428" s="48"/>
      <c r="C428" s="49" t="s">
        <v>18</v>
      </c>
      <c r="D428" s="50"/>
      <c r="E428" s="50"/>
      <c r="F428" s="50"/>
      <c r="G428" s="50"/>
      <c r="H428" s="50"/>
      <c r="I428" s="50"/>
      <c r="J428" s="50"/>
      <c r="K428" s="35" t="n">
        <f aca="false">COUNTA(D428:J428)</f>
        <v>0</v>
      </c>
      <c r="L428" s="34"/>
    </row>
    <row r="429" customFormat="false" ht="15" hidden="false" customHeight="false" outlineLevel="0" collapsed="false">
      <c r="B429" s="48"/>
      <c r="C429" s="49" t="s">
        <v>23</v>
      </c>
      <c r="D429" s="50"/>
      <c r="E429" s="50" t="s">
        <v>126</v>
      </c>
      <c r="F429" s="50"/>
      <c r="G429" s="50"/>
      <c r="H429" s="50"/>
      <c r="I429" s="50" t="s">
        <v>126</v>
      </c>
      <c r="J429" s="50"/>
      <c r="K429" s="35" t="n">
        <f aca="false">COUNTA(D429:J429)</f>
        <v>2</v>
      </c>
      <c r="L429" s="34"/>
    </row>
    <row r="430" customFormat="false" ht="15" hidden="false" customHeight="false" outlineLevel="0" collapsed="false">
      <c r="B430" s="48" t="s">
        <v>58</v>
      </c>
      <c r="C430" s="49" t="s">
        <v>11</v>
      </c>
      <c r="D430" s="50"/>
      <c r="E430" s="50"/>
      <c r="F430" s="50"/>
      <c r="G430" s="50"/>
      <c r="H430" s="50"/>
      <c r="I430" s="50"/>
      <c r="J430" s="50"/>
      <c r="K430" s="35" t="n">
        <f aca="false">COUNTA(D430:J430)</f>
        <v>0</v>
      </c>
      <c r="L430" s="34" t="n">
        <f aca="false">SUM(K430:K432)</f>
        <v>6</v>
      </c>
    </row>
    <row r="431" customFormat="false" ht="15" hidden="false" customHeight="false" outlineLevel="0" collapsed="false">
      <c r="B431" s="48"/>
      <c r="C431" s="49" t="s">
        <v>18</v>
      </c>
      <c r="D431" s="50"/>
      <c r="E431" s="50"/>
      <c r="F431" s="50"/>
      <c r="G431" s="50"/>
      <c r="H431" s="50"/>
      <c r="I431" s="50"/>
      <c r="J431" s="50"/>
      <c r="K431" s="35" t="n">
        <f aca="false">COUNTA(D431:J431)</f>
        <v>0</v>
      </c>
      <c r="L431" s="34"/>
    </row>
    <row r="432" customFormat="false" ht="15" hidden="false" customHeight="false" outlineLevel="0" collapsed="false">
      <c r="B432" s="48"/>
      <c r="C432" s="49" t="s">
        <v>23</v>
      </c>
      <c r="D432" s="50" t="s">
        <v>126</v>
      </c>
      <c r="E432" s="50" t="s">
        <v>126</v>
      </c>
      <c r="F432" s="50" t="s">
        <v>126</v>
      </c>
      <c r="G432" s="50" t="s">
        <v>126</v>
      </c>
      <c r="H432" s="50" t="s">
        <v>126</v>
      </c>
      <c r="I432" s="50" t="s">
        <v>126</v>
      </c>
      <c r="J432" s="50"/>
      <c r="K432" s="35" t="n">
        <f aca="false">COUNTA(D432:J432)</f>
        <v>6</v>
      </c>
      <c r="L432" s="34"/>
    </row>
    <row r="433" customFormat="false" ht="15" hidden="false" customHeight="false" outlineLevel="0" collapsed="false">
      <c r="B433" s="48" t="s">
        <v>61</v>
      </c>
      <c r="C433" s="49" t="s">
        <v>11</v>
      </c>
      <c r="D433" s="50"/>
      <c r="E433" s="50"/>
      <c r="F433" s="50"/>
      <c r="G433" s="50"/>
      <c r="H433" s="50"/>
      <c r="I433" s="50"/>
      <c r="J433" s="50"/>
      <c r="K433" s="35" t="n">
        <f aca="false">COUNTA(D433:J433)</f>
        <v>0</v>
      </c>
      <c r="L433" s="34" t="n">
        <f aca="false">SUM(K433:K435)</f>
        <v>2</v>
      </c>
    </row>
    <row r="434" customFormat="false" ht="15" hidden="false" customHeight="false" outlineLevel="0" collapsed="false">
      <c r="B434" s="48"/>
      <c r="C434" s="49" t="s">
        <v>18</v>
      </c>
      <c r="D434" s="50"/>
      <c r="E434" s="50"/>
      <c r="F434" s="50"/>
      <c r="G434" s="50"/>
      <c r="H434" s="50"/>
      <c r="I434" s="50"/>
      <c r="J434" s="50"/>
      <c r="K434" s="35" t="n">
        <f aca="false">COUNTA(D434:J434)</f>
        <v>0</v>
      </c>
      <c r="L434" s="34"/>
    </row>
    <row r="435" customFormat="false" ht="15" hidden="false" customHeight="false" outlineLevel="0" collapsed="false">
      <c r="B435" s="48"/>
      <c r="C435" s="49" t="s">
        <v>23</v>
      </c>
      <c r="D435" s="50"/>
      <c r="E435" s="50"/>
      <c r="F435" s="50" t="s">
        <v>126</v>
      </c>
      <c r="G435" s="50"/>
      <c r="H435" s="50"/>
      <c r="I435" s="50"/>
      <c r="J435" s="50" t="s">
        <v>126</v>
      </c>
      <c r="K435" s="35" t="n">
        <f aca="false">COUNTA(D435:J435)</f>
        <v>2</v>
      </c>
      <c r="L435" s="34"/>
    </row>
    <row r="437" customFormat="false" ht="19.5" hidden="false" customHeight="true" outlineLevel="0" collapsed="false">
      <c r="B437" s="41" t="str">
        <f aca="false">"TABLEAU 11/12  -  PROGRAMME DE FEVRIER 2028"&amp;IF($C$4="fevrier 2028","          &lt;&lt;&lt; MOIS ACTUELLEMENT FILTRE","")</f>
        <v>TABLEAU 11/12  -  PROGRAMME DE FEVRIER 2028</v>
      </c>
      <c r="C437" s="41"/>
      <c r="D437" s="41"/>
      <c r="E437" s="41"/>
      <c r="F437" s="41"/>
      <c r="G437" s="41"/>
      <c r="H437" s="41"/>
      <c r="I437" s="41"/>
      <c r="J437" s="41"/>
      <c r="K437" s="46" t="s">
        <v>120</v>
      </c>
    </row>
    <row r="438" customFormat="false" ht="25.5" hidden="false" customHeight="true" outlineLevel="0" collapsed="false">
      <c r="B438" s="47" t="s">
        <v>82</v>
      </c>
      <c r="C438" s="47" t="s">
        <v>122</v>
      </c>
      <c r="D438" s="47" t="s">
        <v>26</v>
      </c>
      <c r="E438" s="47" t="s">
        <v>27</v>
      </c>
      <c r="F438" s="47" t="s">
        <v>28</v>
      </c>
      <c r="G438" s="47" t="s">
        <v>29</v>
      </c>
      <c r="H438" s="47" t="s">
        <v>30</v>
      </c>
      <c r="I438" s="47" t="s">
        <v>31</v>
      </c>
      <c r="J438" s="47" t="s">
        <v>32</v>
      </c>
      <c r="K438" s="47" t="s">
        <v>123</v>
      </c>
      <c r="L438" s="47" t="s">
        <v>124</v>
      </c>
    </row>
    <row r="439" customFormat="false" ht="15" hidden="false" customHeight="false" outlineLevel="0" collapsed="false">
      <c r="B439" s="48" t="s">
        <v>12</v>
      </c>
      <c r="C439" s="49" t="s">
        <v>11</v>
      </c>
      <c r="D439" s="50" t="s">
        <v>126</v>
      </c>
      <c r="E439" s="50" t="s">
        <v>126</v>
      </c>
      <c r="F439" s="50" t="s">
        <v>126</v>
      </c>
      <c r="G439" s="50" t="s">
        <v>126</v>
      </c>
      <c r="H439" s="50" t="s">
        <v>126</v>
      </c>
      <c r="I439" s="50" t="s">
        <v>126</v>
      </c>
      <c r="J439" s="50" t="s">
        <v>126</v>
      </c>
      <c r="K439" s="35" t="n">
        <f aca="false">COUNTA(D439:J439)</f>
        <v>7</v>
      </c>
      <c r="L439" s="34" t="n">
        <f aca="false">SUM(K439:K441)</f>
        <v>10</v>
      </c>
    </row>
    <row r="440" customFormat="false" ht="15" hidden="false" customHeight="false" outlineLevel="0" collapsed="false">
      <c r="B440" s="48"/>
      <c r="C440" s="49" t="s">
        <v>18</v>
      </c>
      <c r="D440" s="50" t="s">
        <v>126</v>
      </c>
      <c r="E440" s="50"/>
      <c r="F440" s="50"/>
      <c r="G440" s="50"/>
      <c r="H440" s="50" t="s">
        <v>126</v>
      </c>
      <c r="I440" s="50"/>
      <c r="J440" s="50"/>
      <c r="K440" s="35" t="n">
        <f aca="false">COUNTA(D440:J440)</f>
        <v>2</v>
      </c>
      <c r="L440" s="34"/>
    </row>
    <row r="441" customFormat="false" ht="15" hidden="false" customHeight="false" outlineLevel="0" collapsed="false">
      <c r="B441" s="48"/>
      <c r="C441" s="49" t="s">
        <v>23</v>
      </c>
      <c r="D441" s="50" t="s">
        <v>126</v>
      </c>
      <c r="E441" s="50"/>
      <c r="F441" s="50"/>
      <c r="G441" s="50"/>
      <c r="H441" s="50"/>
      <c r="I441" s="50"/>
      <c r="J441" s="50"/>
      <c r="K441" s="35" t="n">
        <f aca="false">COUNTA(D441:J441)</f>
        <v>1</v>
      </c>
      <c r="L441" s="34"/>
    </row>
    <row r="442" customFormat="false" ht="15" hidden="false" customHeight="false" outlineLevel="0" collapsed="false">
      <c r="B442" s="48" t="s">
        <v>19</v>
      </c>
      <c r="C442" s="49" t="s">
        <v>11</v>
      </c>
      <c r="D442" s="50"/>
      <c r="E442" s="50"/>
      <c r="F442" s="50"/>
      <c r="G442" s="50"/>
      <c r="H442" s="50"/>
      <c r="I442" s="50"/>
      <c r="J442" s="50" t="s">
        <v>126</v>
      </c>
      <c r="K442" s="35" t="n">
        <f aca="false">COUNTA(D442:J442)</f>
        <v>1</v>
      </c>
      <c r="L442" s="34" t="n">
        <f aca="false">SUM(K442:K444)</f>
        <v>3</v>
      </c>
    </row>
    <row r="443" customFormat="false" ht="15" hidden="false" customHeight="false" outlineLevel="0" collapsed="false">
      <c r="B443" s="48"/>
      <c r="C443" s="49" t="s">
        <v>18</v>
      </c>
      <c r="D443" s="50"/>
      <c r="E443" s="50" t="s">
        <v>126</v>
      </c>
      <c r="F443" s="50"/>
      <c r="G443" s="50"/>
      <c r="H443" s="50" t="s">
        <v>126</v>
      </c>
      <c r="I443" s="50"/>
      <c r="J443" s="50"/>
      <c r="K443" s="35" t="n">
        <f aca="false">COUNTA(D443:J443)</f>
        <v>2</v>
      </c>
      <c r="L443" s="34"/>
    </row>
    <row r="444" customFormat="false" ht="15" hidden="false" customHeight="false" outlineLevel="0" collapsed="false">
      <c r="B444" s="48"/>
      <c r="C444" s="49" t="s">
        <v>23</v>
      </c>
      <c r="D444" s="50"/>
      <c r="E444" s="50"/>
      <c r="F444" s="50"/>
      <c r="G444" s="50"/>
      <c r="H444" s="50"/>
      <c r="I444" s="50"/>
      <c r="J444" s="50"/>
      <c r="K444" s="35" t="n">
        <f aca="false">COUNTA(D444:J444)</f>
        <v>0</v>
      </c>
      <c r="L444" s="34"/>
    </row>
    <row r="445" customFormat="false" ht="15" hidden="false" customHeight="false" outlineLevel="0" collapsed="false">
      <c r="B445" s="48" t="s">
        <v>24</v>
      </c>
      <c r="C445" s="49" t="s">
        <v>11</v>
      </c>
      <c r="D445" s="50"/>
      <c r="E445" s="50"/>
      <c r="F445" s="50"/>
      <c r="G445" s="50"/>
      <c r="H445" s="50"/>
      <c r="I445" s="50"/>
      <c r="J445" s="50"/>
      <c r="K445" s="35" t="n">
        <f aca="false">COUNTA(D445:J445)</f>
        <v>0</v>
      </c>
      <c r="L445" s="34" t="n">
        <f aca="false">SUM(K445:K447)</f>
        <v>2</v>
      </c>
    </row>
    <row r="446" customFormat="false" ht="15" hidden="false" customHeight="false" outlineLevel="0" collapsed="false">
      <c r="B446" s="48"/>
      <c r="C446" s="49" t="s">
        <v>18</v>
      </c>
      <c r="D446" s="50"/>
      <c r="E446" s="50"/>
      <c r="F446" s="50" t="s">
        <v>126</v>
      </c>
      <c r="G446" s="50"/>
      <c r="H446" s="50"/>
      <c r="I446" s="50" t="s">
        <v>126</v>
      </c>
      <c r="J446" s="50"/>
      <c r="K446" s="35" t="n">
        <f aca="false">COUNTA(D446:J446)</f>
        <v>2</v>
      </c>
      <c r="L446" s="34"/>
    </row>
    <row r="447" customFormat="false" ht="15" hidden="false" customHeight="false" outlineLevel="0" collapsed="false">
      <c r="B447" s="48"/>
      <c r="C447" s="49" t="s">
        <v>23</v>
      </c>
      <c r="D447" s="50"/>
      <c r="E447" s="50"/>
      <c r="F447" s="50"/>
      <c r="G447" s="50"/>
      <c r="H447" s="50"/>
      <c r="I447" s="50"/>
      <c r="J447" s="50"/>
      <c r="K447" s="35" t="n">
        <f aca="false">COUNTA(D447:J447)</f>
        <v>0</v>
      </c>
      <c r="L447" s="34"/>
    </row>
    <row r="448" customFormat="false" ht="15" hidden="false" customHeight="false" outlineLevel="0" collapsed="false">
      <c r="B448" s="48" t="s">
        <v>35</v>
      </c>
      <c r="C448" s="49" t="s">
        <v>11</v>
      </c>
      <c r="D448" s="50"/>
      <c r="E448" s="50"/>
      <c r="F448" s="50"/>
      <c r="G448" s="50"/>
      <c r="H448" s="50"/>
      <c r="I448" s="50"/>
      <c r="J448" s="50"/>
      <c r="K448" s="35" t="n">
        <f aca="false">COUNTA(D448:J448)</f>
        <v>0</v>
      </c>
      <c r="L448" s="34" t="n">
        <f aca="false">SUM(K448:K450)</f>
        <v>6</v>
      </c>
    </row>
    <row r="449" customFormat="false" ht="15" hidden="false" customHeight="false" outlineLevel="0" collapsed="false">
      <c r="B449" s="48"/>
      <c r="C449" s="49" t="s">
        <v>18</v>
      </c>
      <c r="D449" s="50"/>
      <c r="E449" s="50"/>
      <c r="F449" s="50" t="s">
        <v>126</v>
      </c>
      <c r="G449" s="50"/>
      <c r="H449" s="50"/>
      <c r="I449" s="50"/>
      <c r="J449" s="50"/>
      <c r="K449" s="35" t="n">
        <f aca="false">COUNTA(D449:J449)</f>
        <v>1</v>
      </c>
      <c r="L449" s="34"/>
    </row>
    <row r="450" customFormat="false" ht="15" hidden="false" customHeight="false" outlineLevel="0" collapsed="false">
      <c r="B450" s="48"/>
      <c r="C450" s="49" t="s">
        <v>23</v>
      </c>
      <c r="D450" s="50" t="s">
        <v>126</v>
      </c>
      <c r="E450" s="50" t="s">
        <v>126</v>
      </c>
      <c r="F450" s="50" t="s">
        <v>126</v>
      </c>
      <c r="G450" s="50" t="s">
        <v>126</v>
      </c>
      <c r="H450" s="50" t="s">
        <v>126</v>
      </c>
      <c r="I450" s="50"/>
      <c r="J450" s="50"/>
      <c r="K450" s="35" t="n">
        <f aca="false">COUNTA(D450:J450)</f>
        <v>5</v>
      </c>
      <c r="L450" s="34"/>
    </row>
    <row r="451" customFormat="false" ht="15" hidden="false" customHeight="false" outlineLevel="0" collapsed="false">
      <c r="B451" s="48" t="s">
        <v>39</v>
      </c>
      <c r="C451" s="49" t="s">
        <v>11</v>
      </c>
      <c r="D451" s="50"/>
      <c r="E451" s="50"/>
      <c r="F451" s="50"/>
      <c r="G451" s="50"/>
      <c r="H451" s="50"/>
      <c r="I451" s="50"/>
      <c r="J451" s="50"/>
      <c r="K451" s="35" t="n">
        <f aca="false">COUNTA(D451:J451)</f>
        <v>0</v>
      </c>
      <c r="L451" s="34" t="n">
        <f aca="false">SUM(K451:K453)</f>
        <v>4</v>
      </c>
    </row>
    <row r="452" customFormat="false" ht="15" hidden="false" customHeight="false" outlineLevel="0" collapsed="false">
      <c r="B452" s="48"/>
      <c r="C452" s="49" t="s">
        <v>18</v>
      </c>
      <c r="D452" s="50"/>
      <c r="E452" s="50"/>
      <c r="F452" s="50"/>
      <c r="G452" s="50"/>
      <c r="H452" s="50"/>
      <c r="I452" s="50"/>
      <c r="J452" s="50"/>
      <c r="K452" s="35" t="n">
        <f aca="false">COUNTA(D452:J452)</f>
        <v>0</v>
      </c>
      <c r="L452" s="34"/>
    </row>
    <row r="453" customFormat="false" ht="15" hidden="false" customHeight="false" outlineLevel="0" collapsed="false">
      <c r="B453" s="48"/>
      <c r="C453" s="49" t="s">
        <v>23</v>
      </c>
      <c r="D453" s="50" t="s">
        <v>126</v>
      </c>
      <c r="E453" s="50"/>
      <c r="F453" s="50" t="s">
        <v>126</v>
      </c>
      <c r="G453" s="50"/>
      <c r="H453" s="50" t="s">
        <v>126</v>
      </c>
      <c r="I453" s="50"/>
      <c r="J453" s="50" t="s">
        <v>126</v>
      </c>
      <c r="K453" s="35" t="n">
        <f aca="false">COUNTA(D453:J453)</f>
        <v>4</v>
      </c>
      <c r="L453" s="34"/>
    </row>
    <row r="454" customFormat="false" ht="15" hidden="false" customHeight="false" outlineLevel="0" collapsed="false">
      <c r="B454" s="48" t="s">
        <v>14</v>
      </c>
      <c r="C454" s="49" t="s">
        <v>11</v>
      </c>
      <c r="D454" s="50"/>
      <c r="E454" s="50"/>
      <c r="F454" s="50"/>
      <c r="G454" s="50"/>
      <c r="H454" s="50"/>
      <c r="I454" s="50"/>
      <c r="J454" s="50"/>
      <c r="K454" s="35" t="n">
        <f aca="false">COUNTA(D454:J454)</f>
        <v>0</v>
      </c>
      <c r="L454" s="34" t="n">
        <f aca="false">SUM(K454:K456)</f>
        <v>3</v>
      </c>
    </row>
    <row r="455" customFormat="false" ht="15" hidden="false" customHeight="false" outlineLevel="0" collapsed="false">
      <c r="B455" s="48"/>
      <c r="C455" s="49" t="s">
        <v>18</v>
      </c>
      <c r="D455" s="50"/>
      <c r="E455" s="50"/>
      <c r="F455" s="50"/>
      <c r="G455" s="50"/>
      <c r="H455" s="50"/>
      <c r="I455" s="50"/>
      <c r="J455" s="50"/>
      <c r="K455" s="35" t="n">
        <f aca="false">COUNTA(D455:J455)</f>
        <v>0</v>
      </c>
      <c r="L455" s="34"/>
    </row>
    <row r="456" customFormat="false" ht="15" hidden="false" customHeight="false" outlineLevel="0" collapsed="false">
      <c r="B456" s="48"/>
      <c r="C456" s="49" t="s">
        <v>23</v>
      </c>
      <c r="D456" s="50" t="s">
        <v>126</v>
      </c>
      <c r="E456" s="50"/>
      <c r="F456" s="50"/>
      <c r="G456" s="50" t="s">
        <v>126</v>
      </c>
      <c r="H456" s="50"/>
      <c r="I456" s="50" t="s">
        <v>126</v>
      </c>
      <c r="J456" s="50"/>
      <c r="K456" s="35" t="n">
        <f aca="false">COUNTA(D456:J456)</f>
        <v>3</v>
      </c>
      <c r="L456" s="34"/>
    </row>
    <row r="457" customFormat="false" ht="15" hidden="false" customHeight="false" outlineLevel="0" collapsed="false">
      <c r="B457" s="48" t="s">
        <v>45</v>
      </c>
      <c r="C457" s="49" t="s">
        <v>11</v>
      </c>
      <c r="D457" s="50"/>
      <c r="E457" s="50"/>
      <c r="F457" s="50"/>
      <c r="G457" s="50"/>
      <c r="H457" s="50"/>
      <c r="I457" s="50"/>
      <c r="J457" s="50"/>
      <c r="K457" s="35" t="n">
        <f aca="false">COUNTA(D457:J457)</f>
        <v>0</v>
      </c>
      <c r="L457" s="34" t="n">
        <f aca="false">SUM(K457:K459)</f>
        <v>3</v>
      </c>
    </row>
    <row r="458" customFormat="false" ht="15" hidden="false" customHeight="false" outlineLevel="0" collapsed="false">
      <c r="B458" s="48"/>
      <c r="C458" s="49" t="s">
        <v>18</v>
      </c>
      <c r="D458" s="50"/>
      <c r="E458" s="50"/>
      <c r="F458" s="50"/>
      <c r="G458" s="50"/>
      <c r="H458" s="50"/>
      <c r="I458" s="50"/>
      <c r="J458" s="50"/>
      <c r="K458" s="35" t="n">
        <f aca="false">COUNTA(D458:J458)</f>
        <v>0</v>
      </c>
      <c r="L458" s="34"/>
    </row>
    <row r="459" customFormat="false" ht="15" hidden="false" customHeight="false" outlineLevel="0" collapsed="false">
      <c r="B459" s="48"/>
      <c r="C459" s="49" t="s">
        <v>23</v>
      </c>
      <c r="D459" s="50"/>
      <c r="E459" s="50" t="s">
        <v>126</v>
      </c>
      <c r="F459" s="50"/>
      <c r="G459" s="50" t="s">
        <v>126</v>
      </c>
      <c r="H459" s="50"/>
      <c r="I459" s="50" t="s">
        <v>126</v>
      </c>
      <c r="J459" s="50"/>
      <c r="K459" s="35" t="n">
        <f aca="false">COUNTA(D459:J459)</f>
        <v>3</v>
      </c>
      <c r="L459" s="34"/>
    </row>
    <row r="460" customFormat="false" ht="15" hidden="false" customHeight="false" outlineLevel="0" collapsed="false">
      <c r="B460" s="48" t="s">
        <v>48</v>
      </c>
      <c r="C460" s="49" t="s">
        <v>11</v>
      </c>
      <c r="D460" s="50"/>
      <c r="E460" s="50"/>
      <c r="F460" s="50"/>
      <c r="G460" s="50"/>
      <c r="H460" s="50"/>
      <c r="I460" s="50"/>
      <c r="J460" s="50"/>
      <c r="K460" s="35" t="n">
        <f aca="false">COUNTA(D460:J460)</f>
        <v>0</v>
      </c>
      <c r="L460" s="34" t="n">
        <f aca="false">SUM(K460:K462)</f>
        <v>2</v>
      </c>
    </row>
    <row r="461" customFormat="false" ht="15" hidden="false" customHeight="false" outlineLevel="0" collapsed="false">
      <c r="B461" s="48"/>
      <c r="C461" s="49" t="s">
        <v>18</v>
      </c>
      <c r="D461" s="50" t="s">
        <v>126</v>
      </c>
      <c r="E461" s="50"/>
      <c r="F461" s="50"/>
      <c r="G461" s="50"/>
      <c r="H461" s="50" t="s">
        <v>126</v>
      </c>
      <c r="I461" s="50"/>
      <c r="J461" s="50"/>
      <c r="K461" s="35" t="n">
        <f aca="false">COUNTA(D461:J461)</f>
        <v>2</v>
      </c>
      <c r="L461" s="34"/>
    </row>
    <row r="462" customFormat="false" ht="15" hidden="false" customHeight="false" outlineLevel="0" collapsed="false">
      <c r="B462" s="48"/>
      <c r="C462" s="49" t="s">
        <v>23</v>
      </c>
      <c r="D462" s="50"/>
      <c r="E462" s="50"/>
      <c r="F462" s="50"/>
      <c r="G462" s="50"/>
      <c r="H462" s="50"/>
      <c r="I462" s="50"/>
      <c r="J462" s="50"/>
      <c r="K462" s="35" t="n">
        <f aca="false">COUNTA(D462:J462)</f>
        <v>0</v>
      </c>
      <c r="L462" s="34"/>
    </row>
    <row r="463" customFormat="false" ht="15" hidden="false" customHeight="false" outlineLevel="0" collapsed="false">
      <c r="B463" s="48" t="s">
        <v>52</v>
      </c>
      <c r="C463" s="49" t="s">
        <v>11</v>
      </c>
      <c r="D463" s="50"/>
      <c r="E463" s="50"/>
      <c r="F463" s="50"/>
      <c r="G463" s="50"/>
      <c r="H463" s="50"/>
      <c r="I463" s="50"/>
      <c r="J463" s="50"/>
      <c r="K463" s="35" t="n">
        <f aca="false">COUNTA(D463:J463)</f>
        <v>0</v>
      </c>
      <c r="L463" s="34" t="n">
        <f aca="false">SUM(K463:K465)</f>
        <v>1</v>
      </c>
    </row>
    <row r="464" customFormat="false" ht="15" hidden="false" customHeight="false" outlineLevel="0" collapsed="false">
      <c r="B464" s="48"/>
      <c r="C464" s="49" t="s">
        <v>18</v>
      </c>
      <c r="D464" s="50"/>
      <c r="E464" s="50"/>
      <c r="F464" s="50"/>
      <c r="G464" s="50" t="s">
        <v>126</v>
      </c>
      <c r="H464" s="50"/>
      <c r="I464" s="50"/>
      <c r="J464" s="50"/>
      <c r="K464" s="35" t="n">
        <f aca="false">COUNTA(D464:J464)</f>
        <v>1</v>
      </c>
      <c r="L464" s="34"/>
    </row>
    <row r="465" customFormat="false" ht="15" hidden="false" customHeight="false" outlineLevel="0" collapsed="false">
      <c r="B465" s="48"/>
      <c r="C465" s="49" t="s">
        <v>23</v>
      </c>
      <c r="D465" s="50"/>
      <c r="E465" s="50"/>
      <c r="F465" s="50"/>
      <c r="G465" s="50"/>
      <c r="H465" s="50"/>
      <c r="I465" s="50"/>
      <c r="J465" s="50"/>
      <c r="K465" s="35" t="n">
        <f aca="false">COUNTA(D465:J465)</f>
        <v>0</v>
      </c>
      <c r="L465" s="34"/>
    </row>
    <row r="466" customFormat="false" ht="15" hidden="false" customHeight="false" outlineLevel="0" collapsed="false">
      <c r="B466" s="48" t="s">
        <v>55</v>
      </c>
      <c r="C466" s="49" t="s">
        <v>11</v>
      </c>
      <c r="D466" s="50"/>
      <c r="E466" s="50"/>
      <c r="F466" s="50"/>
      <c r="G466" s="50"/>
      <c r="H466" s="50"/>
      <c r="I466" s="50"/>
      <c r="J466" s="50"/>
      <c r="K466" s="35" t="n">
        <f aca="false">COUNTA(D466:J466)</f>
        <v>0</v>
      </c>
      <c r="L466" s="34" t="n">
        <f aca="false">SUM(K466:K468)</f>
        <v>2</v>
      </c>
    </row>
    <row r="467" customFormat="false" ht="15" hidden="false" customHeight="false" outlineLevel="0" collapsed="false">
      <c r="B467" s="48"/>
      <c r="C467" s="49" t="s">
        <v>18</v>
      </c>
      <c r="D467" s="50"/>
      <c r="E467" s="50"/>
      <c r="F467" s="50"/>
      <c r="G467" s="50"/>
      <c r="H467" s="50"/>
      <c r="I467" s="50"/>
      <c r="J467" s="50"/>
      <c r="K467" s="35" t="n">
        <f aca="false">COUNTA(D467:J467)</f>
        <v>0</v>
      </c>
      <c r="L467" s="34"/>
    </row>
    <row r="468" customFormat="false" ht="15" hidden="false" customHeight="false" outlineLevel="0" collapsed="false">
      <c r="B468" s="48"/>
      <c r="C468" s="49" t="s">
        <v>23</v>
      </c>
      <c r="D468" s="50"/>
      <c r="E468" s="50" t="s">
        <v>126</v>
      </c>
      <c r="F468" s="50"/>
      <c r="G468" s="50"/>
      <c r="H468" s="50"/>
      <c r="I468" s="50" t="s">
        <v>126</v>
      </c>
      <c r="J468" s="50"/>
      <c r="K468" s="35" t="n">
        <f aca="false">COUNTA(D468:J468)</f>
        <v>2</v>
      </c>
      <c r="L468" s="34"/>
    </row>
    <row r="469" customFormat="false" ht="15" hidden="false" customHeight="false" outlineLevel="0" collapsed="false">
      <c r="B469" s="48" t="s">
        <v>58</v>
      </c>
      <c r="C469" s="49" t="s">
        <v>11</v>
      </c>
      <c r="D469" s="50"/>
      <c r="E469" s="50"/>
      <c r="F469" s="50"/>
      <c r="G469" s="50"/>
      <c r="H469" s="50"/>
      <c r="I469" s="50"/>
      <c r="J469" s="50"/>
      <c r="K469" s="35" t="n">
        <f aca="false">COUNTA(D469:J469)</f>
        <v>0</v>
      </c>
      <c r="L469" s="34" t="n">
        <f aca="false">SUM(K469:K471)</f>
        <v>6</v>
      </c>
    </row>
    <row r="470" customFormat="false" ht="15" hidden="false" customHeight="false" outlineLevel="0" collapsed="false">
      <c r="B470" s="48"/>
      <c r="C470" s="49" t="s">
        <v>18</v>
      </c>
      <c r="D470" s="50"/>
      <c r="E470" s="50"/>
      <c r="F470" s="50"/>
      <c r="G470" s="50"/>
      <c r="H470" s="50"/>
      <c r="I470" s="50"/>
      <c r="J470" s="50"/>
      <c r="K470" s="35" t="n">
        <f aca="false">COUNTA(D470:J470)</f>
        <v>0</v>
      </c>
      <c r="L470" s="34"/>
    </row>
    <row r="471" customFormat="false" ht="15" hidden="false" customHeight="false" outlineLevel="0" collapsed="false">
      <c r="B471" s="48"/>
      <c r="C471" s="49" t="s">
        <v>23</v>
      </c>
      <c r="D471" s="50" t="s">
        <v>126</v>
      </c>
      <c r="E471" s="50" t="s">
        <v>126</v>
      </c>
      <c r="F471" s="50" t="s">
        <v>126</v>
      </c>
      <c r="G471" s="50" t="s">
        <v>126</v>
      </c>
      <c r="H471" s="50" t="s">
        <v>126</v>
      </c>
      <c r="I471" s="50" t="s">
        <v>126</v>
      </c>
      <c r="J471" s="50"/>
      <c r="K471" s="35" t="n">
        <f aca="false">COUNTA(D471:J471)</f>
        <v>6</v>
      </c>
      <c r="L471" s="34"/>
    </row>
    <row r="472" customFormat="false" ht="15" hidden="false" customHeight="false" outlineLevel="0" collapsed="false">
      <c r="B472" s="48" t="s">
        <v>61</v>
      </c>
      <c r="C472" s="49" t="s">
        <v>11</v>
      </c>
      <c r="D472" s="50"/>
      <c r="E472" s="50"/>
      <c r="F472" s="50"/>
      <c r="G472" s="50"/>
      <c r="H472" s="50"/>
      <c r="I472" s="50"/>
      <c r="J472" s="50"/>
      <c r="K472" s="35" t="n">
        <f aca="false">COUNTA(D472:J472)</f>
        <v>0</v>
      </c>
      <c r="L472" s="34" t="n">
        <f aca="false">SUM(K472:K474)</f>
        <v>2</v>
      </c>
    </row>
    <row r="473" customFormat="false" ht="15" hidden="false" customHeight="false" outlineLevel="0" collapsed="false">
      <c r="B473" s="48"/>
      <c r="C473" s="49" t="s">
        <v>18</v>
      </c>
      <c r="D473" s="50"/>
      <c r="E473" s="50"/>
      <c r="F473" s="50"/>
      <c r="G473" s="50"/>
      <c r="H473" s="50"/>
      <c r="I473" s="50"/>
      <c r="J473" s="50"/>
      <c r="K473" s="35" t="n">
        <f aca="false">COUNTA(D473:J473)</f>
        <v>0</v>
      </c>
      <c r="L473" s="34"/>
    </row>
    <row r="474" customFormat="false" ht="15" hidden="false" customHeight="false" outlineLevel="0" collapsed="false">
      <c r="B474" s="48"/>
      <c r="C474" s="49" t="s">
        <v>23</v>
      </c>
      <c r="D474" s="50"/>
      <c r="E474" s="50"/>
      <c r="F474" s="50" t="s">
        <v>126</v>
      </c>
      <c r="G474" s="50"/>
      <c r="H474" s="50"/>
      <c r="I474" s="50"/>
      <c r="J474" s="50" t="s">
        <v>126</v>
      </c>
      <c r="K474" s="35" t="n">
        <f aca="false">COUNTA(D474:J474)</f>
        <v>2</v>
      </c>
      <c r="L474" s="34"/>
    </row>
    <row r="476" customFormat="false" ht="19.5" hidden="false" customHeight="true" outlineLevel="0" collapsed="false">
      <c r="B476" s="41" t="str">
        <f aca="false">"TABLEAU 12/12  -  PROGRAMME DE MARS 2028"&amp;IF($C$4="mars 2028","          &lt;&lt;&lt; MOIS ACTUELLEMENT FILTRE","")</f>
        <v>TABLEAU 12/12  -  PROGRAMME DE MARS 2028</v>
      </c>
      <c r="C476" s="41"/>
      <c r="D476" s="41"/>
      <c r="E476" s="41"/>
      <c r="F476" s="41"/>
      <c r="G476" s="41"/>
      <c r="H476" s="41"/>
      <c r="I476" s="41"/>
      <c r="J476" s="41"/>
      <c r="K476" s="46" t="s">
        <v>120</v>
      </c>
    </row>
    <row r="477" customFormat="false" ht="25.5" hidden="false" customHeight="true" outlineLevel="0" collapsed="false">
      <c r="B477" s="47" t="s">
        <v>82</v>
      </c>
      <c r="C477" s="47" t="s">
        <v>122</v>
      </c>
      <c r="D477" s="47" t="s">
        <v>26</v>
      </c>
      <c r="E477" s="47" t="s">
        <v>27</v>
      </c>
      <c r="F477" s="47" t="s">
        <v>28</v>
      </c>
      <c r="G477" s="47" t="s">
        <v>29</v>
      </c>
      <c r="H477" s="47" t="s">
        <v>30</v>
      </c>
      <c r="I477" s="47" t="s">
        <v>31</v>
      </c>
      <c r="J477" s="47" t="s">
        <v>32</v>
      </c>
      <c r="K477" s="47" t="s">
        <v>123</v>
      </c>
      <c r="L477" s="47" t="s">
        <v>124</v>
      </c>
    </row>
    <row r="478" customFormat="false" ht="15" hidden="false" customHeight="false" outlineLevel="0" collapsed="false">
      <c r="B478" s="48" t="s">
        <v>12</v>
      </c>
      <c r="C478" s="49" t="s">
        <v>11</v>
      </c>
      <c r="D478" s="50" t="s">
        <v>126</v>
      </c>
      <c r="E478" s="50" t="s">
        <v>126</v>
      </c>
      <c r="F478" s="50" t="s">
        <v>126</v>
      </c>
      <c r="G478" s="50" t="s">
        <v>126</v>
      </c>
      <c r="H478" s="50" t="s">
        <v>126</v>
      </c>
      <c r="I478" s="50" t="s">
        <v>126</v>
      </c>
      <c r="J478" s="50" t="s">
        <v>126</v>
      </c>
      <c r="K478" s="35" t="n">
        <f aca="false">COUNTA(D478:J478)</f>
        <v>7</v>
      </c>
      <c r="L478" s="34" t="n">
        <f aca="false">SUM(K478:K480)</f>
        <v>10</v>
      </c>
    </row>
    <row r="479" customFormat="false" ht="15" hidden="false" customHeight="false" outlineLevel="0" collapsed="false">
      <c r="B479" s="48"/>
      <c r="C479" s="49" t="s">
        <v>18</v>
      </c>
      <c r="D479" s="50" t="s">
        <v>126</v>
      </c>
      <c r="E479" s="50"/>
      <c r="F479" s="50"/>
      <c r="G479" s="50"/>
      <c r="H479" s="50" t="s">
        <v>126</v>
      </c>
      <c r="I479" s="50"/>
      <c r="J479" s="50"/>
      <c r="K479" s="35" t="n">
        <f aca="false">COUNTA(D479:J479)</f>
        <v>2</v>
      </c>
      <c r="L479" s="34"/>
    </row>
    <row r="480" customFormat="false" ht="15" hidden="false" customHeight="false" outlineLevel="0" collapsed="false">
      <c r="B480" s="48"/>
      <c r="C480" s="49" t="s">
        <v>23</v>
      </c>
      <c r="D480" s="50" t="s">
        <v>126</v>
      </c>
      <c r="E480" s="50"/>
      <c r="F480" s="50"/>
      <c r="G480" s="50"/>
      <c r="H480" s="50"/>
      <c r="I480" s="50"/>
      <c r="J480" s="50"/>
      <c r="K480" s="35" t="n">
        <f aca="false">COUNTA(D480:J480)</f>
        <v>1</v>
      </c>
      <c r="L480" s="34"/>
    </row>
    <row r="481" customFormat="false" ht="15" hidden="false" customHeight="false" outlineLevel="0" collapsed="false">
      <c r="B481" s="48" t="s">
        <v>19</v>
      </c>
      <c r="C481" s="49" t="s">
        <v>11</v>
      </c>
      <c r="D481" s="50"/>
      <c r="E481" s="50"/>
      <c r="F481" s="50"/>
      <c r="G481" s="50"/>
      <c r="H481" s="50"/>
      <c r="I481" s="50"/>
      <c r="J481" s="50" t="s">
        <v>126</v>
      </c>
      <c r="K481" s="35" t="n">
        <f aca="false">COUNTA(D481:J481)</f>
        <v>1</v>
      </c>
      <c r="L481" s="34" t="n">
        <f aca="false">SUM(K481:K483)</f>
        <v>3</v>
      </c>
    </row>
    <row r="482" customFormat="false" ht="15" hidden="false" customHeight="false" outlineLevel="0" collapsed="false">
      <c r="B482" s="48"/>
      <c r="C482" s="49" t="s">
        <v>18</v>
      </c>
      <c r="D482" s="50"/>
      <c r="E482" s="50" t="s">
        <v>126</v>
      </c>
      <c r="F482" s="50"/>
      <c r="G482" s="50"/>
      <c r="H482" s="50" t="s">
        <v>126</v>
      </c>
      <c r="I482" s="50"/>
      <c r="J482" s="50"/>
      <c r="K482" s="35" t="n">
        <f aca="false">COUNTA(D482:J482)</f>
        <v>2</v>
      </c>
      <c r="L482" s="34"/>
    </row>
    <row r="483" customFormat="false" ht="15" hidden="false" customHeight="false" outlineLevel="0" collapsed="false">
      <c r="B483" s="48"/>
      <c r="C483" s="49" t="s">
        <v>23</v>
      </c>
      <c r="D483" s="50"/>
      <c r="E483" s="50"/>
      <c r="F483" s="50"/>
      <c r="G483" s="50"/>
      <c r="H483" s="50"/>
      <c r="I483" s="50"/>
      <c r="J483" s="50"/>
      <c r="K483" s="35" t="n">
        <f aca="false">COUNTA(D483:J483)</f>
        <v>0</v>
      </c>
      <c r="L483" s="34"/>
    </row>
    <row r="484" customFormat="false" ht="15" hidden="false" customHeight="false" outlineLevel="0" collapsed="false">
      <c r="B484" s="48" t="s">
        <v>24</v>
      </c>
      <c r="C484" s="49" t="s">
        <v>11</v>
      </c>
      <c r="D484" s="50"/>
      <c r="E484" s="50"/>
      <c r="F484" s="50"/>
      <c r="G484" s="50"/>
      <c r="H484" s="50"/>
      <c r="I484" s="50"/>
      <c r="J484" s="50"/>
      <c r="K484" s="35" t="n">
        <f aca="false">COUNTA(D484:J484)</f>
        <v>0</v>
      </c>
      <c r="L484" s="34" t="n">
        <f aca="false">SUM(K484:K486)</f>
        <v>2</v>
      </c>
    </row>
    <row r="485" customFormat="false" ht="15" hidden="false" customHeight="false" outlineLevel="0" collapsed="false">
      <c r="B485" s="48"/>
      <c r="C485" s="49" t="s">
        <v>18</v>
      </c>
      <c r="D485" s="50"/>
      <c r="E485" s="50"/>
      <c r="F485" s="50" t="s">
        <v>126</v>
      </c>
      <c r="G485" s="50"/>
      <c r="H485" s="50"/>
      <c r="I485" s="50" t="s">
        <v>126</v>
      </c>
      <c r="J485" s="50"/>
      <c r="K485" s="35" t="n">
        <f aca="false">COUNTA(D485:J485)</f>
        <v>2</v>
      </c>
      <c r="L485" s="34"/>
    </row>
    <row r="486" customFormat="false" ht="15" hidden="false" customHeight="false" outlineLevel="0" collapsed="false">
      <c r="B486" s="48"/>
      <c r="C486" s="49" t="s">
        <v>23</v>
      </c>
      <c r="D486" s="50"/>
      <c r="E486" s="50"/>
      <c r="F486" s="50"/>
      <c r="G486" s="50"/>
      <c r="H486" s="50"/>
      <c r="I486" s="50"/>
      <c r="J486" s="50"/>
      <c r="K486" s="35" t="n">
        <f aca="false">COUNTA(D486:J486)</f>
        <v>0</v>
      </c>
      <c r="L486" s="34"/>
    </row>
    <row r="487" customFormat="false" ht="15" hidden="false" customHeight="false" outlineLevel="0" collapsed="false">
      <c r="B487" s="48" t="s">
        <v>35</v>
      </c>
      <c r="C487" s="49" t="s">
        <v>11</v>
      </c>
      <c r="D487" s="50"/>
      <c r="E487" s="50"/>
      <c r="F487" s="50"/>
      <c r="G487" s="50"/>
      <c r="H487" s="50"/>
      <c r="I487" s="50"/>
      <c r="J487" s="50"/>
      <c r="K487" s="35" t="n">
        <f aca="false">COUNTA(D487:J487)</f>
        <v>0</v>
      </c>
      <c r="L487" s="34" t="n">
        <f aca="false">SUM(K487:K489)</f>
        <v>6</v>
      </c>
    </row>
    <row r="488" customFormat="false" ht="15" hidden="false" customHeight="false" outlineLevel="0" collapsed="false">
      <c r="B488" s="48"/>
      <c r="C488" s="49" t="s">
        <v>18</v>
      </c>
      <c r="D488" s="50"/>
      <c r="E488" s="50"/>
      <c r="F488" s="50" t="s">
        <v>126</v>
      </c>
      <c r="G488" s="50"/>
      <c r="H488" s="50"/>
      <c r="I488" s="50"/>
      <c r="J488" s="50"/>
      <c r="K488" s="35" t="n">
        <f aca="false">COUNTA(D488:J488)</f>
        <v>1</v>
      </c>
      <c r="L488" s="34"/>
    </row>
    <row r="489" customFormat="false" ht="15" hidden="false" customHeight="false" outlineLevel="0" collapsed="false">
      <c r="B489" s="48"/>
      <c r="C489" s="49" t="s">
        <v>23</v>
      </c>
      <c r="D489" s="50" t="s">
        <v>126</v>
      </c>
      <c r="E489" s="50" t="s">
        <v>126</v>
      </c>
      <c r="F489" s="50" t="s">
        <v>126</v>
      </c>
      <c r="G489" s="50" t="s">
        <v>126</v>
      </c>
      <c r="H489" s="50" t="s">
        <v>126</v>
      </c>
      <c r="I489" s="50"/>
      <c r="J489" s="50"/>
      <c r="K489" s="35" t="n">
        <f aca="false">COUNTA(D489:J489)</f>
        <v>5</v>
      </c>
      <c r="L489" s="34"/>
    </row>
    <row r="490" customFormat="false" ht="15" hidden="false" customHeight="false" outlineLevel="0" collapsed="false">
      <c r="B490" s="48" t="s">
        <v>39</v>
      </c>
      <c r="C490" s="49" t="s">
        <v>11</v>
      </c>
      <c r="D490" s="50"/>
      <c r="E490" s="50"/>
      <c r="F490" s="50"/>
      <c r="G490" s="50"/>
      <c r="H490" s="50"/>
      <c r="I490" s="50"/>
      <c r="J490" s="50"/>
      <c r="K490" s="35" t="n">
        <f aca="false">COUNTA(D490:J490)</f>
        <v>0</v>
      </c>
      <c r="L490" s="34" t="n">
        <f aca="false">SUM(K490:K492)</f>
        <v>4</v>
      </c>
    </row>
    <row r="491" customFormat="false" ht="15" hidden="false" customHeight="false" outlineLevel="0" collapsed="false">
      <c r="B491" s="48"/>
      <c r="C491" s="49" t="s">
        <v>18</v>
      </c>
      <c r="D491" s="50"/>
      <c r="E491" s="50"/>
      <c r="F491" s="50"/>
      <c r="G491" s="50"/>
      <c r="H491" s="50"/>
      <c r="I491" s="50"/>
      <c r="J491" s="50"/>
      <c r="K491" s="35" t="n">
        <f aca="false">COUNTA(D491:J491)</f>
        <v>0</v>
      </c>
      <c r="L491" s="34"/>
    </row>
    <row r="492" customFormat="false" ht="15" hidden="false" customHeight="false" outlineLevel="0" collapsed="false">
      <c r="B492" s="48"/>
      <c r="C492" s="49" t="s">
        <v>23</v>
      </c>
      <c r="D492" s="50" t="s">
        <v>126</v>
      </c>
      <c r="E492" s="50"/>
      <c r="F492" s="50" t="s">
        <v>126</v>
      </c>
      <c r="G492" s="50"/>
      <c r="H492" s="50" t="s">
        <v>126</v>
      </c>
      <c r="I492" s="50"/>
      <c r="J492" s="50" t="s">
        <v>126</v>
      </c>
      <c r="K492" s="35" t="n">
        <f aca="false">COUNTA(D492:J492)</f>
        <v>4</v>
      </c>
      <c r="L492" s="34"/>
    </row>
    <row r="493" customFormat="false" ht="15" hidden="false" customHeight="false" outlineLevel="0" collapsed="false">
      <c r="B493" s="48" t="s">
        <v>14</v>
      </c>
      <c r="C493" s="49" t="s">
        <v>11</v>
      </c>
      <c r="D493" s="50"/>
      <c r="E493" s="50"/>
      <c r="F493" s="50"/>
      <c r="G493" s="50"/>
      <c r="H493" s="50"/>
      <c r="I493" s="50"/>
      <c r="J493" s="50"/>
      <c r="K493" s="35" t="n">
        <f aca="false">COUNTA(D493:J493)</f>
        <v>0</v>
      </c>
      <c r="L493" s="34" t="n">
        <f aca="false">SUM(K493:K495)</f>
        <v>3</v>
      </c>
    </row>
    <row r="494" customFormat="false" ht="15" hidden="false" customHeight="false" outlineLevel="0" collapsed="false">
      <c r="B494" s="48"/>
      <c r="C494" s="49" t="s">
        <v>18</v>
      </c>
      <c r="D494" s="50"/>
      <c r="E494" s="50"/>
      <c r="F494" s="50"/>
      <c r="G494" s="50"/>
      <c r="H494" s="50"/>
      <c r="I494" s="50"/>
      <c r="J494" s="50"/>
      <c r="K494" s="35" t="n">
        <f aca="false">COUNTA(D494:J494)</f>
        <v>0</v>
      </c>
      <c r="L494" s="34"/>
    </row>
    <row r="495" customFormat="false" ht="15" hidden="false" customHeight="false" outlineLevel="0" collapsed="false">
      <c r="B495" s="48"/>
      <c r="C495" s="49" t="s">
        <v>23</v>
      </c>
      <c r="D495" s="50" t="s">
        <v>126</v>
      </c>
      <c r="E495" s="50"/>
      <c r="F495" s="50"/>
      <c r="G495" s="50" t="s">
        <v>126</v>
      </c>
      <c r="H495" s="50"/>
      <c r="I495" s="50" t="s">
        <v>126</v>
      </c>
      <c r="J495" s="50"/>
      <c r="K495" s="35" t="n">
        <f aca="false">COUNTA(D495:J495)</f>
        <v>3</v>
      </c>
      <c r="L495" s="34"/>
    </row>
    <row r="496" customFormat="false" ht="15" hidden="false" customHeight="false" outlineLevel="0" collapsed="false">
      <c r="B496" s="48" t="s">
        <v>45</v>
      </c>
      <c r="C496" s="49" t="s">
        <v>11</v>
      </c>
      <c r="D496" s="50"/>
      <c r="E496" s="50"/>
      <c r="F496" s="50"/>
      <c r="G496" s="50"/>
      <c r="H496" s="50"/>
      <c r="I496" s="50"/>
      <c r="J496" s="50"/>
      <c r="K496" s="35" t="n">
        <f aca="false">COUNTA(D496:J496)</f>
        <v>0</v>
      </c>
      <c r="L496" s="34" t="n">
        <f aca="false">SUM(K496:K498)</f>
        <v>3</v>
      </c>
    </row>
    <row r="497" customFormat="false" ht="15" hidden="false" customHeight="false" outlineLevel="0" collapsed="false">
      <c r="B497" s="48"/>
      <c r="C497" s="49" t="s">
        <v>18</v>
      </c>
      <c r="D497" s="50"/>
      <c r="E497" s="50"/>
      <c r="F497" s="50"/>
      <c r="G497" s="50"/>
      <c r="H497" s="50"/>
      <c r="I497" s="50"/>
      <c r="J497" s="50"/>
      <c r="K497" s="35" t="n">
        <f aca="false">COUNTA(D497:J497)</f>
        <v>0</v>
      </c>
      <c r="L497" s="34"/>
    </row>
    <row r="498" customFormat="false" ht="15" hidden="false" customHeight="false" outlineLevel="0" collapsed="false">
      <c r="B498" s="48"/>
      <c r="C498" s="49" t="s">
        <v>23</v>
      </c>
      <c r="D498" s="50"/>
      <c r="E498" s="50" t="s">
        <v>126</v>
      </c>
      <c r="F498" s="50"/>
      <c r="G498" s="50" t="s">
        <v>126</v>
      </c>
      <c r="H498" s="50"/>
      <c r="I498" s="50" t="s">
        <v>126</v>
      </c>
      <c r="J498" s="50"/>
      <c r="K498" s="35" t="n">
        <f aca="false">COUNTA(D498:J498)</f>
        <v>3</v>
      </c>
      <c r="L498" s="34"/>
    </row>
    <row r="499" customFormat="false" ht="15" hidden="false" customHeight="false" outlineLevel="0" collapsed="false">
      <c r="B499" s="48" t="s">
        <v>48</v>
      </c>
      <c r="C499" s="49" t="s">
        <v>11</v>
      </c>
      <c r="D499" s="50"/>
      <c r="E499" s="50"/>
      <c r="F499" s="50"/>
      <c r="G499" s="50"/>
      <c r="H499" s="50"/>
      <c r="I499" s="50"/>
      <c r="J499" s="50"/>
      <c r="K499" s="35" t="n">
        <f aca="false">COUNTA(D499:J499)</f>
        <v>0</v>
      </c>
      <c r="L499" s="34" t="n">
        <f aca="false">SUM(K499:K501)</f>
        <v>2</v>
      </c>
    </row>
    <row r="500" customFormat="false" ht="15" hidden="false" customHeight="false" outlineLevel="0" collapsed="false">
      <c r="B500" s="48"/>
      <c r="C500" s="49" t="s">
        <v>18</v>
      </c>
      <c r="D500" s="50" t="s">
        <v>126</v>
      </c>
      <c r="E500" s="50"/>
      <c r="F500" s="50"/>
      <c r="G500" s="50"/>
      <c r="H500" s="50" t="s">
        <v>126</v>
      </c>
      <c r="I500" s="50"/>
      <c r="J500" s="50"/>
      <c r="K500" s="35" t="n">
        <f aca="false">COUNTA(D500:J500)</f>
        <v>2</v>
      </c>
      <c r="L500" s="34"/>
    </row>
    <row r="501" customFormat="false" ht="15" hidden="false" customHeight="false" outlineLevel="0" collapsed="false">
      <c r="B501" s="48"/>
      <c r="C501" s="49" t="s">
        <v>23</v>
      </c>
      <c r="D501" s="50"/>
      <c r="E501" s="50"/>
      <c r="F501" s="50"/>
      <c r="G501" s="50"/>
      <c r="H501" s="50"/>
      <c r="I501" s="50"/>
      <c r="J501" s="50"/>
      <c r="K501" s="35" t="n">
        <f aca="false">COUNTA(D501:J501)</f>
        <v>0</v>
      </c>
      <c r="L501" s="34"/>
    </row>
    <row r="502" customFormat="false" ht="15" hidden="false" customHeight="false" outlineLevel="0" collapsed="false">
      <c r="B502" s="48" t="s">
        <v>52</v>
      </c>
      <c r="C502" s="49" t="s">
        <v>11</v>
      </c>
      <c r="D502" s="50"/>
      <c r="E502" s="50"/>
      <c r="F502" s="50"/>
      <c r="G502" s="50"/>
      <c r="H502" s="50"/>
      <c r="I502" s="50"/>
      <c r="J502" s="50"/>
      <c r="K502" s="35" t="n">
        <f aca="false">COUNTA(D502:J502)</f>
        <v>0</v>
      </c>
      <c r="L502" s="34" t="n">
        <f aca="false">SUM(K502:K504)</f>
        <v>1</v>
      </c>
    </row>
    <row r="503" customFormat="false" ht="15" hidden="false" customHeight="false" outlineLevel="0" collapsed="false">
      <c r="B503" s="48"/>
      <c r="C503" s="49" t="s">
        <v>18</v>
      </c>
      <c r="D503" s="50"/>
      <c r="E503" s="50"/>
      <c r="F503" s="50"/>
      <c r="G503" s="50" t="s">
        <v>126</v>
      </c>
      <c r="H503" s="50"/>
      <c r="I503" s="50"/>
      <c r="J503" s="50"/>
      <c r="K503" s="35" t="n">
        <f aca="false">COUNTA(D503:J503)</f>
        <v>1</v>
      </c>
      <c r="L503" s="34"/>
    </row>
    <row r="504" customFormat="false" ht="15" hidden="false" customHeight="false" outlineLevel="0" collapsed="false">
      <c r="B504" s="48"/>
      <c r="C504" s="49" t="s">
        <v>23</v>
      </c>
      <c r="D504" s="50"/>
      <c r="E504" s="50"/>
      <c r="F504" s="50"/>
      <c r="G504" s="50"/>
      <c r="H504" s="50"/>
      <c r="I504" s="50"/>
      <c r="J504" s="50"/>
      <c r="K504" s="35" t="n">
        <f aca="false">COUNTA(D504:J504)</f>
        <v>0</v>
      </c>
      <c r="L504" s="34"/>
    </row>
    <row r="505" customFormat="false" ht="15" hidden="false" customHeight="false" outlineLevel="0" collapsed="false">
      <c r="B505" s="48" t="s">
        <v>55</v>
      </c>
      <c r="C505" s="49" t="s">
        <v>11</v>
      </c>
      <c r="D505" s="50"/>
      <c r="E505" s="50"/>
      <c r="F505" s="50"/>
      <c r="G505" s="50"/>
      <c r="H505" s="50"/>
      <c r="I505" s="50"/>
      <c r="J505" s="50"/>
      <c r="K505" s="35" t="n">
        <f aca="false">COUNTA(D505:J505)</f>
        <v>0</v>
      </c>
      <c r="L505" s="34" t="n">
        <f aca="false">SUM(K505:K507)</f>
        <v>2</v>
      </c>
    </row>
    <row r="506" customFormat="false" ht="15" hidden="false" customHeight="false" outlineLevel="0" collapsed="false">
      <c r="B506" s="48"/>
      <c r="C506" s="49" t="s">
        <v>18</v>
      </c>
      <c r="D506" s="50"/>
      <c r="E506" s="50"/>
      <c r="F506" s="50"/>
      <c r="G506" s="50"/>
      <c r="H506" s="50"/>
      <c r="I506" s="50"/>
      <c r="J506" s="50"/>
      <c r="K506" s="35" t="n">
        <f aca="false">COUNTA(D506:J506)</f>
        <v>0</v>
      </c>
      <c r="L506" s="34"/>
    </row>
    <row r="507" customFormat="false" ht="15" hidden="false" customHeight="false" outlineLevel="0" collapsed="false">
      <c r="B507" s="48"/>
      <c r="C507" s="49" t="s">
        <v>23</v>
      </c>
      <c r="D507" s="50"/>
      <c r="E507" s="50" t="s">
        <v>126</v>
      </c>
      <c r="F507" s="50"/>
      <c r="G507" s="50"/>
      <c r="H507" s="50"/>
      <c r="I507" s="50" t="s">
        <v>126</v>
      </c>
      <c r="J507" s="50"/>
      <c r="K507" s="35" t="n">
        <f aca="false">COUNTA(D507:J507)</f>
        <v>2</v>
      </c>
      <c r="L507" s="34"/>
    </row>
    <row r="508" customFormat="false" ht="15" hidden="false" customHeight="false" outlineLevel="0" collapsed="false">
      <c r="B508" s="48" t="s">
        <v>58</v>
      </c>
      <c r="C508" s="49" t="s">
        <v>11</v>
      </c>
      <c r="D508" s="50"/>
      <c r="E508" s="50"/>
      <c r="F508" s="50"/>
      <c r="G508" s="50"/>
      <c r="H508" s="50"/>
      <c r="I508" s="50"/>
      <c r="J508" s="50"/>
      <c r="K508" s="35" t="n">
        <f aca="false">COUNTA(D508:J508)</f>
        <v>0</v>
      </c>
      <c r="L508" s="34" t="n">
        <f aca="false">SUM(K508:K510)</f>
        <v>6</v>
      </c>
    </row>
    <row r="509" customFormat="false" ht="15" hidden="false" customHeight="false" outlineLevel="0" collapsed="false">
      <c r="B509" s="48"/>
      <c r="C509" s="49" t="s">
        <v>18</v>
      </c>
      <c r="D509" s="50"/>
      <c r="E509" s="50"/>
      <c r="F509" s="50"/>
      <c r="G509" s="50"/>
      <c r="H509" s="50"/>
      <c r="I509" s="50"/>
      <c r="J509" s="50"/>
      <c r="K509" s="35" t="n">
        <f aca="false">COUNTA(D509:J509)</f>
        <v>0</v>
      </c>
      <c r="L509" s="34"/>
    </row>
    <row r="510" customFormat="false" ht="15" hidden="false" customHeight="false" outlineLevel="0" collapsed="false">
      <c r="B510" s="48"/>
      <c r="C510" s="49" t="s">
        <v>23</v>
      </c>
      <c r="D510" s="50" t="s">
        <v>126</v>
      </c>
      <c r="E510" s="50" t="s">
        <v>126</v>
      </c>
      <c r="F510" s="50" t="s">
        <v>126</v>
      </c>
      <c r="G510" s="50" t="s">
        <v>126</v>
      </c>
      <c r="H510" s="50" t="s">
        <v>126</v>
      </c>
      <c r="I510" s="50" t="s">
        <v>126</v>
      </c>
      <c r="J510" s="50"/>
      <c r="K510" s="35" t="n">
        <f aca="false">COUNTA(D510:J510)</f>
        <v>6</v>
      </c>
      <c r="L510" s="34"/>
    </row>
    <row r="511" customFormat="false" ht="15" hidden="false" customHeight="false" outlineLevel="0" collapsed="false">
      <c r="B511" s="48" t="s">
        <v>61</v>
      </c>
      <c r="C511" s="49" t="s">
        <v>11</v>
      </c>
      <c r="D511" s="50"/>
      <c r="E511" s="50"/>
      <c r="F511" s="50"/>
      <c r="G511" s="50"/>
      <c r="H511" s="50"/>
      <c r="I511" s="50"/>
      <c r="J511" s="50"/>
      <c r="K511" s="35" t="n">
        <f aca="false">COUNTA(D511:J511)</f>
        <v>0</v>
      </c>
      <c r="L511" s="34" t="n">
        <f aca="false">SUM(K511:K513)</f>
        <v>2</v>
      </c>
    </row>
    <row r="512" customFormat="false" ht="15" hidden="false" customHeight="false" outlineLevel="0" collapsed="false">
      <c r="B512" s="48"/>
      <c r="C512" s="49" t="s">
        <v>18</v>
      </c>
      <c r="D512" s="50"/>
      <c r="E512" s="50"/>
      <c r="F512" s="50"/>
      <c r="G512" s="50"/>
      <c r="H512" s="50"/>
      <c r="I512" s="50"/>
      <c r="J512" s="50"/>
      <c r="K512" s="35" t="n">
        <f aca="false">COUNTA(D512:J512)</f>
        <v>0</v>
      </c>
      <c r="L512" s="34"/>
    </row>
    <row r="513" customFormat="false" ht="15" hidden="false" customHeight="false" outlineLevel="0" collapsed="false">
      <c r="B513" s="48"/>
      <c r="C513" s="49" t="s">
        <v>23</v>
      </c>
      <c r="D513" s="50"/>
      <c r="E513" s="50"/>
      <c r="F513" s="50" t="s">
        <v>126</v>
      </c>
      <c r="G513" s="50"/>
      <c r="H513" s="50"/>
      <c r="I513" s="50"/>
      <c r="J513" s="50" t="s">
        <v>126</v>
      </c>
      <c r="K513" s="35" t="n">
        <f aca="false">COUNTA(D513:J513)</f>
        <v>2</v>
      </c>
      <c r="L513" s="34"/>
    </row>
    <row r="516" customFormat="false" ht="15" hidden="false" customHeight="false" outlineLevel="0" collapsed="false">
      <c r="B516" s="41" t="s">
        <v>138</v>
      </c>
      <c r="C516" s="41"/>
      <c r="D516" s="41"/>
      <c r="E516" s="41"/>
      <c r="F516" s="41"/>
      <c r="G516" s="41"/>
      <c r="H516" s="41"/>
      <c r="I516" s="41"/>
      <c r="J516" s="41"/>
      <c r="K516" s="41"/>
      <c r="L516" s="41"/>
    </row>
    <row r="517" customFormat="false" ht="25.5" hidden="false" customHeight="true" outlineLevel="0" collapsed="false">
      <c r="B517" s="42" t="s">
        <v>139</v>
      </c>
      <c r="C517" s="42"/>
      <c r="D517" s="42"/>
      <c r="E517" s="42"/>
      <c r="F517" s="42"/>
      <c r="G517" s="42"/>
      <c r="H517" s="42"/>
      <c r="I517" s="42"/>
      <c r="J517" s="42"/>
      <c r="K517" s="42"/>
      <c r="L517" s="42"/>
    </row>
    <row r="518" customFormat="false" ht="15" hidden="false" customHeight="false" outlineLevel="0" collapsed="false">
      <c r="B518" s="42"/>
      <c r="C518" s="42"/>
      <c r="D518" s="42"/>
      <c r="E518" s="42"/>
      <c r="F518" s="42"/>
      <c r="G518" s="42"/>
      <c r="H518" s="42"/>
      <c r="I518" s="42"/>
      <c r="J518" s="42"/>
      <c r="K518" s="42"/>
      <c r="L518" s="42"/>
    </row>
    <row r="520" customFormat="false" ht="15" hidden="false" customHeight="false" outlineLevel="0" collapsed="false">
      <c r="B520" s="51" t="s">
        <v>140</v>
      </c>
      <c r="C520" s="51" t="s">
        <v>82</v>
      </c>
      <c r="D520" s="51" t="s">
        <v>122</v>
      </c>
      <c r="E520" s="51" t="s">
        <v>141</v>
      </c>
      <c r="F520" s="51" t="s">
        <v>142</v>
      </c>
      <c r="H520" s="52" t="s">
        <v>143</v>
      </c>
    </row>
    <row r="521" customFormat="false" ht="15" hidden="false" customHeight="false" outlineLevel="0" collapsed="false">
      <c r="B521" s="53" t="n">
        <v>46484</v>
      </c>
      <c r="C521" s="54" t="s">
        <v>14</v>
      </c>
      <c r="D521" s="54" t="s">
        <v>23</v>
      </c>
      <c r="E521" s="55" t="n">
        <v>1</v>
      </c>
      <c r="F521" s="56" t="s">
        <v>144</v>
      </c>
      <c r="H521" s="57" t="str">
        <f aca="false">IF(OR($B521="",$C521=""),"",$B521&amp;"|"&amp;$C521)</f>
        <v>46484|NOSRUN</v>
      </c>
    </row>
    <row r="522" customFormat="false" ht="15" hidden="false" customHeight="false" outlineLevel="0" collapsed="false">
      <c r="B522" s="53" t="n">
        <v>46487</v>
      </c>
      <c r="C522" s="54" t="s">
        <v>14</v>
      </c>
      <c r="D522" s="54" t="s">
        <v>23</v>
      </c>
      <c r="E522" s="55" t="n">
        <v>1</v>
      </c>
      <c r="F522" s="56" t="s">
        <v>145</v>
      </c>
      <c r="H522" s="57" t="str">
        <f aca="false">IF(OR($B522="",$C522=""),"",$B522&amp;"|"&amp;$C522)</f>
        <v>46487|NOSRUN</v>
      </c>
    </row>
    <row r="523" customFormat="false" ht="15" hidden="false" customHeight="false" outlineLevel="0" collapsed="false">
      <c r="B523" s="53" t="n">
        <v>46497</v>
      </c>
      <c r="C523" s="54" t="s">
        <v>12</v>
      </c>
      <c r="D523" s="54" t="s">
        <v>18</v>
      </c>
      <c r="E523" s="55" t="n">
        <v>2</v>
      </c>
      <c r="F523" s="56" t="s">
        <v>146</v>
      </c>
      <c r="H523" s="57" t="str">
        <f aca="false">IF(OR($B523="",$C523=""),"",$B523&amp;"|"&amp;$C523)</f>
        <v>46497|CDGRUN</v>
      </c>
    </row>
    <row r="524" customFormat="false" ht="15" hidden="false" customHeight="false" outlineLevel="0" collapsed="false">
      <c r="B524" s="53"/>
      <c r="C524" s="54"/>
      <c r="D524" s="54"/>
      <c r="E524" s="55"/>
      <c r="F524" s="56"/>
      <c r="H524" s="57" t="str">
        <f aca="false">IF(OR($B524="",$C524=""),"",$B524&amp;"|"&amp;$C524)</f>
        <v/>
      </c>
    </row>
    <row r="525" customFormat="false" ht="15" hidden="false" customHeight="false" outlineLevel="0" collapsed="false">
      <c r="B525" s="53"/>
      <c r="C525" s="54"/>
      <c r="D525" s="54"/>
      <c r="E525" s="55"/>
      <c r="F525" s="56"/>
      <c r="H525" s="57" t="str">
        <f aca="false">IF(OR($B525="",$C525=""),"",$B525&amp;"|"&amp;$C525)</f>
        <v/>
      </c>
    </row>
    <row r="526" customFormat="false" ht="15" hidden="false" customHeight="false" outlineLevel="0" collapsed="false">
      <c r="B526" s="53"/>
      <c r="C526" s="54"/>
      <c r="D526" s="54"/>
      <c r="E526" s="55"/>
      <c r="F526" s="56"/>
      <c r="H526" s="57" t="str">
        <f aca="false">IF(OR($B526="",$C526=""),"",$B526&amp;"|"&amp;$C526)</f>
        <v/>
      </c>
    </row>
    <row r="527" customFormat="false" ht="15" hidden="false" customHeight="false" outlineLevel="0" collapsed="false">
      <c r="B527" s="53"/>
      <c r="C527" s="54"/>
      <c r="D527" s="54"/>
      <c r="E527" s="55"/>
      <c r="F527" s="56"/>
      <c r="H527" s="57" t="str">
        <f aca="false">IF(OR($B527="",$C527=""),"",$B527&amp;"|"&amp;$C527)</f>
        <v/>
      </c>
    </row>
    <row r="528" customFormat="false" ht="15" hidden="false" customHeight="false" outlineLevel="0" collapsed="false">
      <c r="B528" s="53"/>
      <c r="C528" s="54"/>
      <c r="D528" s="54"/>
      <c r="E528" s="55"/>
      <c r="F528" s="56"/>
      <c r="H528" s="57" t="str">
        <f aca="false">IF(OR($B528="",$C528=""),"",$B528&amp;"|"&amp;$C528)</f>
        <v/>
      </c>
    </row>
    <row r="529" customFormat="false" ht="15" hidden="false" customHeight="false" outlineLevel="0" collapsed="false">
      <c r="B529" s="53"/>
      <c r="C529" s="54"/>
      <c r="D529" s="54"/>
      <c r="E529" s="55"/>
      <c r="F529" s="56"/>
      <c r="H529" s="57" t="str">
        <f aca="false">IF(OR($B529="",$C529=""),"",$B529&amp;"|"&amp;$C529)</f>
        <v/>
      </c>
    </row>
    <row r="530" customFormat="false" ht="15" hidden="false" customHeight="false" outlineLevel="0" collapsed="false">
      <c r="B530" s="53"/>
      <c r="C530" s="54"/>
      <c r="D530" s="54"/>
      <c r="E530" s="55"/>
      <c r="F530" s="56"/>
      <c r="H530" s="57" t="str">
        <f aca="false">IF(OR($B530="",$C530=""),"",$B530&amp;"|"&amp;$C530)</f>
        <v/>
      </c>
    </row>
    <row r="531" customFormat="false" ht="15" hidden="false" customHeight="false" outlineLevel="0" collapsed="false">
      <c r="B531" s="53"/>
      <c r="C531" s="54"/>
      <c r="D531" s="54"/>
      <c r="E531" s="55"/>
      <c r="F531" s="56"/>
      <c r="H531" s="57" t="str">
        <f aca="false">IF(OR($B531="",$C531=""),"",$B531&amp;"|"&amp;$C531)</f>
        <v/>
      </c>
    </row>
    <row r="532" customFormat="false" ht="15" hidden="false" customHeight="false" outlineLevel="0" collapsed="false">
      <c r="B532" s="53"/>
      <c r="C532" s="54"/>
      <c r="D532" s="54"/>
      <c r="E532" s="55"/>
      <c r="F532" s="56"/>
      <c r="H532" s="57" t="str">
        <f aca="false">IF(OR($B532="",$C532=""),"",$B532&amp;"|"&amp;$C532)</f>
        <v/>
      </c>
    </row>
    <row r="533" customFormat="false" ht="15" hidden="false" customHeight="false" outlineLevel="0" collapsed="false">
      <c r="B533" s="53"/>
      <c r="C533" s="54"/>
      <c r="D533" s="54"/>
      <c r="E533" s="55"/>
      <c r="F533" s="56"/>
      <c r="H533" s="57" t="str">
        <f aca="false">IF(OR($B533="",$C533=""),"",$B533&amp;"|"&amp;$C533)</f>
        <v/>
      </c>
    </row>
    <row r="534" customFormat="false" ht="15" hidden="false" customHeight="false" outlineLevel="0" collapsed="false">
      <c r="B534" s="53"/>
      <c r="C534" s="54"/>
      <c r="D534" s="54"/>
      <c r="E534" s="55"/>
      <c r="F534" s="56"/>
      <c r="H534" s="57" t="str">
        <f aca="false">IF(OR($B534="",$C534=""),"",$B534&amp;"|"&amp;$C534)</f>
        <v/>
      </c>
    </row>
    <row r="535" customFormat="false" ht="15" hidden="false" customHeight="false" outlineLevel="0" collapsed="false">
      <c r="B535" s="53"/>
      <c r="C535" s="54"/>
      <c r="D535" s="54"/>
      <c r="E535" s="55"/>
      <c r="F535" s="56"/>
      <c r="H535" s="57" t="str">
        <f aca="false">IF(OR($B535="",$C535=""),"",$B535&amp;"|"&amp;$C535)</f>
        <v/>
      </c>
    </row>
    <row r="536" customFormat="false" ht="15" hidden="false" customHeight="false" outlineLevel="0" collapsed="false">
      <c r="B536" s="53"/>
      <c r="C536" s="54"/>
      <c r="D536" s="54"/>
      <c r="E536" s="55"/>
      <c r="F536" s="56"/>
      <c r="H536" s="57" t="str">
        <f aca="false">IF(OR($B536="",$C536=""),"",$B536&amp;"|"&amp;$C536)</f>
        <v/>
      </c>
    </row>
    <row r="537" customFormat="false" ht="15" hidden="false" customHeight="false" outlineLevel="0" collapsed="false">
      <c r="B537" s="53"/>
      <c r="C537" s="54"/>
      <c r="D537" s="54"/>
      <c r="E537" s="55"/>
      <c r="F537" s="56"/>
      <c r="H537" s="57" t="str">
        <f aca="false">IF(OR($B537="",$C537=""),"",$B537&amp;"|"&amp;$C537)</f>
        <v/>
      </c>
    </row>
    <row r="538" customFormat="false" ht="15" hidden="false" customHeight="false" outlineLevel="0" collapsed="false">
      <c r="B538" s="53"/>
      <c r="C538" s="54"/>
      <c r="D538" s="54"/>
      <c r="E538" s="55"/>
      <c r="F538" s="56"/>
      <c r="H538" s="57" t="str">
        <f aca="false">IF(OR($B538="",$C538=""),"",$B538&amp;"|"&amp;$C538)</f>
        <v/>
      </c>
    </row>
    <row r="539" customFormat="false" ht="15" hidden="false" customHeight="false" outlineLevel="0" collapsed="false">
      <c r="B539" s="53"/>
      <c r="C539" s="54"/>
      <c r="D539" s="54"/>
      <c r="E539" s="55"/>
      <c r="F539" s="56"/>
      <c r="H539" s="57" t="str">
        <f aca="false">IF(OR($B539="",$C539=""),"",$B539&amp;"|"&amp;$C539)</f>
        <v/>
      </c>
    </row>
    <row r="540" customFormat="false" ht="15" hidden="false" customHeight="false" outlineLevel="0" collapsed="false">
      <c r="B540" s="53"/>
      <c r="C540" s="54"/>
      <c r="D540" s="54"/>
      <c r="E540" s="55"/>
      <c r="F540" s="56"/>
      <c r="H540" s="57" t="str">
        <f aca="false">IF(OR($B540="",$C540=""),"",$B540&amp;"|"&amp;$C540)</f>
        <v/>
      </c>
    </row>
    <row r="541" customFormat="false" ht="15" hidden="false" customHeight="false" outlineLevel="0" collapsed="false">
      <c r="B541" s="53"/>
      <c r="C541" s="54"/>
      <c r="D541" s="54"/>
      <c r="E541" s="55"/>
      <c r="F541" s="56"/>
      <c r="H541" s="57" t="str">
        <f aca="false">IF(OR($B541="",$C541=""),"",$B541&amp;"|"&amp;$C541)</f>
        <v/>
      </c>
    </row>
    <row r="542" customFormat="false" ht="15" hidden="false" customHeight="false" outlineLevel="0" collapsed="false">
      <c r="B542" s="53"/>
      <c r="C542" s="54"/>
      <c r="D542" s="54"/>
      <c r="E542" s="55"/>
      <c r="F542" s="56"/>
      <c r="H542" s="57" t="str">
        <f aca="false">IF(OR($B542="",$C542=""),"",$B542&amp;"|"&amp;$C542)</f>
        <v/>
      </c>
    </row>
    <row r="543" customFormat="false" ht="15" hidden="false" customHeight="false" outlineLevel="0" collapsed="false">
      <c r="B543" s="53"/>
      <c r="C543" s="54"/>
      <c r="D543" s="54"/>
      <c r="E543" s="55"/>
      <c r="F543" s="56"/>
      <c r="H543" s="57" t="str">
        <f aca="false">IF(OR($B543="",$C543=""),"",$B543&amp;"|"&amp;$C543)</f>
        <v/>
      </c>
    </row>
    <row r="544" customFormat="false" ht="15" hidden="false" customHeight="false" outlineLevel="0" collapsed="false">
      <c r="B544" s="53"/>
      <c r="C544" s="54"/>
      <c r="D544" s="54"/>
      <c r="E544" s="55"/>
      <c r="F544" s="56"/>
      <c r="H544" s="57" t="str">
        <f aca="false">IF(OR($B544="",$C544=""),"",$B544&amp;"|"&amp;$C544)</f>
        <v/>
      </c>
    </row>
    <row r="545" customFormat="false" ht="15" hidden="false" customHeight="false" outlineLevel="0" collapsed="false">
      <c r="B545" s="53"/>
      <c r="C545" s="54"/>
      <c r="D545" s="54"/>
      <c r="E545" s="55"/>
      <c r="F545" s="56"/>
      <c r="H545" s="57" t="str">
        <f aca="false">IF(OR($B545="",$C545=""),"",$B545&amp;"|"&amp;$C545)</f>
        <v/>
      </c>
    </row>
    <row r="546" customFormat="false" ht="15" hidden="false" customHeight="false" outlineLevel="0" collapsed="false">
      <c r="B546" s="53"/>
      <c r="C546" s="54"/>
      <c r="D546" s="54"/>
      <c r="E546" s="55"/>
      <c r="F546" s="56"/>
      <c r="H546" s="57" t="str">
        <f aca="false">IF(OR($B546="",$C546=""),"",$B546&amp;"|"&amp;$C546)</f>
        <v/>
      </c>
    </row>
    <row r="547" customFormat="false" ht="15" hidden="false" customHeight="false" outlineLevel="0" collapsed="false">
      <c r="B547" s="53"/>
      <c r="C547" s="54"/>
      <c r="D547" s="54"/>
      <c r="E547" s="55"/>
      <c r="F547" s="56"/>
      <c r="H547" s="57" t="str">
        <f aca="false">IF(OR($B547="",$C547=""),"",$B547&amp;"|"&amp;$C547)</f>
        <v/>
      </c>
    </row>
    <row r="548" customFormat="false" ht="15" hidden="false" customHeight="false" outlineLevel="0" collapsed="false">
      <c r="B548" s="53"/>
      <c r="C548" s="54"/>
      <c r="D548" s="54"/>
      <c r="E548" s="55"/>
      <c r="F548" s="56"/>
      <c r="H548" s="57" t="str">
        <f aca="false">IF(OR($B548="",$C548=""),"",$B548&amp;"|"&amp;$C548)</f>
        <v/>
      </c>
    </row>
    <row r="549" customFormat="false" ht="15" hidden="false" customHeight="false" outlineLevel="0" collapsed="false">
      <c r="B549" s="53"/>
      <c r="C549" s="54"/>
      <c r="D549" s="54"/>
      <c r="E549" s="55"/>
      <c r="F549" s="56"/>
      <c r="H549" s="57" t="str">
        <f aca="false">IF(OR($B549="",$C549=""),"",$B549&amp;"|"&amp;$C549)</f>
        <v/>
      </c>
    </row>
    <row r="550" customFormat="false" ht="15" hidden="false" customHeight="false" outlineLevel="0" collapsed="false">
      <c r="B550" s="53"/>
      <c r="C550" s="54"/>
      <c r="D550" s="54"/>
      <c r="E550" s="55"/>
      <c r="F550" s="56"/>
      <c r="H550" s="57" t="str">
        <f aca="false">IF(OR($B550="",$C550=""),"",$B550&amp;"|"&amp;$C550)</f>
        <v/>
      </c>
    </row>
    <row r="551" customFormat="false" ht="15" hidden="false" customHeight="false" outlineLevel="0" collapsed="false">
      <c r="B551" s="53"/>
      <c r="C551" s="54"/>
      <c r="D551" s="54"/>
      <c r="E551" s="55"/>
      <c r="F551" s="56"/>
      <c r="H551" s="57" t="str">
        <f aca="false">IF(OR($B551="",$C551=""),"",$B551&amp;"|"&amp;$C551)</f>
        <v/>
      </c>
    </row>
    <row r="552" customFormat="false" ht="15" hidden="false" customHeight="false" outlineLevel="0" collapsed="false">
      <c r="B552" s="53"/>
      <c r="C552" s="54"/>
      <c r="D552" s="54"/>
      <c r="E552" s="55"/>
      <c r="F552" s="56"/>
      <c r="H552" s="57" t="str">
        <f aca="false">IF(OR($B552="",$C552=""),"",$B552&amp;"|"&amp;$C552)</f>
        <v/>
      </c>
    </row>
    <row r="553" customFormat="false" ht="15" hidden="false" customHeight="false" outlineLevel="0" collapsed="false">
      <c r="B553" s="53"/>
      <c r="C553" s="54"/>
      <c r="D553" s="54"/>
      <c r="E553" s="55"/>
      <c r="F553" s="56"/>
      <c r="H553" s="57" t="str">
        <f aca="false">IF(OR($B553="",$C553=""),"",$B553&amp;"|"&amp;$C553)</f>
        <v/>
      </c>
    </row>
    <row r="554" customFormat="false" ht="15" hidden="false" customHeight="false" outlineLevel="0" collapsed="false">
      <c r="B554" s="53"/>
      <c r="C554" s="54"/>
      <c r="D554" s="54"/>
      <c r="E554" s="55"/>
      <c r="F554" s="56"/>
      <c r="H554" s="57" t="str">
        <f aca="false">IF(OR($B554="",$C554=""),"",$B554&amp;"|"&amp;$C554)</f>
        <v/>
      </c>
    </row>
    <row r="555" customFormat="false" ht="15" hidden="false" customHeight="false" outlineLevel="0" collapsed="false">
      <c r="B555" s="53"/>
      <c r="C555" s="54"/>
      <c r="D555" s="54"/>
      <c r="E555" s="55"/>
      <c r="F555" s="56"/>
      <c r="H555" s="57" t="str">
        <f aca="false">IF(OR($B555="",$C555=""),"",$B555&amp;"|"&amp;$C555)</f>
        <v/>
      </c>
    </row>
    <row r="556" customFormat="false" ht="15" hidden="false" customHeight="false" outlineLevel="0" collapsed="false">
      <c r="B556" s="53"/>
      <c r="C556" s="54"/>
      <c r="D556" s="54"/>
      <c r="E556" s="55"/>
      <c r="F556" s="56"/>
      <c r="H556" s="57" t="str">
        <f aca="false">IF(OR($B556="",$C556=""),"",$B556&amp;"|"&amp;$C556)</f>
        <v/>
      </c>
    </row>
    <row r="557" customFormat="false" ht="15" hidden="false" customHeight="false" outlineLevel="0" collapsed="false">
      <c r="B557" s="53"/>
      <c r="C557" s="54"/>
      <c r="D557" s="54"/>
      <c r="E557" s="55"/>
      <c r="F557" s="56"/>
      <c r="H557" s="57" t="str">
        <f aca="false">IF(OR($B557="",$C557=""),"",$B557&amp;"|"&amp;$C557)</f>
        <v/>
      </c>
    </row>
    <row r="558" customFormat="false" ht="15" hidden="false" customHeight="false" outlineLevel="0" collapsed="false">
      <c r="B558" s="53"/>
      <c r="C558" s="54"/>
      <c r="D558" s="54"/>
      <c r="E558" s="55"/>
      <c r="F558" s="56"/>
      <c r="H558" s="57" t="str">
        <f aca="false">IF(OR($B558="",$C558=""),"",$B558&amp;"|"&amp;$C558)</f>
        <v/>
      </c>
    </row>
    <row r="559" customFormat="false" ht="15" hidden="false" customHeight="false" outlineLevel="0" collapsed="false">
      <c r="B559" s="53"/>
      <c r="C559" s="54"/>
      <c r="D559" s="54"/>
      <c r="E559" s="55"/>
      <c r="F559" s="56"/>
      <c r="H559" s="57" t="str">
        <f aca="false">IF(OR($B559="",$C559=""),"",$B559&amp;"|"&amp;$C559)</f>
        <v/>
      </c>
    </row>
    <row r="560" customFormat="false" ht="15" hidden="false" customHeight="false" outlineLevel="0" collapsed="false">
      <c r="B560" s="53"/>
      <c r="C560" s="54"/>
      <c r="D560" s="54"/>
      <c r="E560" s="55"/>
      <c r="F560" s="56"/>
      <c r="H560" s="57" t="str">
        <f aca="false">IF(OR($B560="",$C560=""),"",$B560&amp;"|"&amp;$C560)</f>
        <v/>
      </c>
    </row>
  </sheetData>
  <mergeCells count="315">
    <mergeCell ref="B1:I1"/>
    <mergeCell ref="B2:I2"/>
    <mergeCell ref="N3:O3"/>
    <mergeCell ref="C4:D4"/>
    <mergeCell ref="C5:D5"/>
    <mergeCell ref="B6:I6"/>
    <mergeCell ref="N15:U15"/>
    <mergeCell ref="D21:I21"/>
    <mergeCell ref="N22:U22"/>
    <mergeCell ref="B23:L23"/>
    <mergeCell ref="B38:L39"/>
    <mergeCell ref="B41:L41"/>
    <mergeCell ref="B42:L43"/>
    <mergeCell ref="B47:J47"/>
    <mergeCell ref="B49:B51"/>
    <mergeCell ref="L49:L51"/>
    <mergeCell ref="B52:B54"/>
    <mergeCell ref="L52:L54"/>
    <mergeCell ref="B55:B57"/>
    <mergeCell ref="L55:L57"/>
    <mergeCell ref="B58:B60"/>
    <mergeCell ref="L58:L60"/>
    <mergeCell ref="B61:B63"/>
    <mergeCell ref="L61:L63"/>
    <mergeCell ref="B64:B66"/>
    <mergeCell ref="L64:L66"/>
    <mergeCell ref="B67:B69"/>
    <mergeCell ref="L67:L69"/>
    <mergeCell ref="B70:B72"/>
    <mergeCell ref="L70:L72"/>
    <mergeCell ref="B73:B75"/>
    <mergeCell ref="L73:L75"/>
    <mergeCell ref="B76:B78"/>
    <mergeCell ref="L76:L78"/>
    <mergeCell ref="B79:B81"/>
    <mergeCell ref="L79:L81"/>
    <mergeCell ref="B82:B84"/>
    <mergeCell ref="L82:L84"/>
    <mergeCell ref="B86:J86"/>
    <mergeCell ref="B88:B90"/>
    <mergeCell ref="L88:L90"/>
    <mergeCell ref="B91:B93"/>
    <mergeCell ref="L91:L93"/>
    <mergeCell ref="B94:B96"/>
    <mergeCell ref="L94:L96"/>
    <mergeCell ref="B97:B99"/>
    <mergeCell ref="L97:L99"/>
    <mergeCell ref="B100:B102"/>
    <mergeCell ref="L100:L102"/>
    <mergeCell ref="B103:B105"/>
    <mergeCell ref="L103:L105"/>
    <mergeCell ref="B106:B108"/>
    <mergeCell ref="L106:L108"/>
    <mergeCell ref="B109:B111"/>
    <mergeCell ref="L109:L111"/>
    <mergeCell ref="B112:B114"/>
    <mergeCell ref="L112:L114"/>
    <mergeCell ref="B115:B117"/>
    <mergeCell ref="L115:L117"/>
    <mergeCell ref="B118:B120"/>
    <mergeCell ref="L118:L120"/>
    <mergeCell ref="B121:B123"/>
    <mergeCell ref="L121:L123"/>
    <mergeCell ref="B125:J125"/>
    <mergeCell ref="B127:B129"/>
    <mergeCell ref="L127:L129"/>
    <mergeCell ref="B130:B132"/>
    <mergeCell ref="L130:L132"/>
    <mergeCell ref="B133:B135"/>
    <mergeCell ref="L133:L135"/>
    <mergeCell ref="B136:B138"/>
    <mergeCell ref="L136:L138"/>
    <mergeCell ref="B139:B141"/>
    <mergeCell ref="L139:L141"/>
    <mergeCell ref="B142:B144"/>
    <mergeCell ref="L142:L144"/>
    <mergeCell ref="B145:B147"/>
    <mergeCell ref="L145:L147"/>
    <mergeCell ref="B148:B150"/>
    <mergeCell ref="L148:L150"/>
    <mergeCell ref="B151:B153"/>
    <mergeCell ref="L151:L153"/>
    <mergeCell ref="B154:B156"/>
    <mergeCell ref="L154:L156"/>
    <mergeCell ref="B157:B159"/>
    <mergeCell ref="L157:L159"/>
    <mergeCell ref="B160:B162"/>
    <mergeCell ref="L160:L162"/>
    <mergeCell ref="B164:J164"/>
    <mergeCell ref="B166:B168"/>
    <mergeCell ref="L166:L168"/>
    <mergeCell ref="B169:B171"/>
    <mergeCell ref="L169:L171"/>
    <mergeCell ref="B172:B174"/>
    <mergeCell ref="L172:L174"/>
    <mergeCell ref="B175:B177"/>
    <mergeCell ref="L175:L177"/>
    <mergeCell ref="B178:B180"/>
    <mergeCell ref="L178:L180"/>
    <mergeCell ref="B181:B183"/>
    <mergeCell ref="L181:L183"/>
    <mergeCell ref="B184:B186"/>
    <mergeCell ref="L184:L186"/>
    <mergeCell ref="B187:B189"/>
    <mergeCell ref="L187:L189"/>
    <mergeCell ref="B190:B192"/>
    <mergeCell ref="L190:L192"/>
    <mergeCell ref="B193:B195"/>
    <mergeCell ref="L193:L195"/>
    <mergeCell ref="B196:B198"/>
    <mergeCell ref="L196:L198"/>
    <mergeCell ref="B199:B201"/>
    <mergeCell ref="L199:L201"/>
    <mergeCell ref="B203:J203"/>
    <mergeCell ref="B205:B207"/>
    <mergeCell ref="L205:L207"/>
    <mergeCell ref="B208:B210"/>
    <mergeCell ref="L208:L210"/>
    <mergeCell ref="B211:B213"/>
    <mergeCell ref="L211:L213"/>
    <mergeCell ref="B214:B216"/>
    <mergeCell ref="L214:L216"/>
    <mergeCell ref="B217:B219"/>
    <mergeCell ref="L217:L219"/>
    <mergeCell ref="B220:B222"/>
    <mergeCell ref="L220:L222"/>
    <mergeCell ref="B223:B225"/>
    <mergeCell ref="L223:L225"/>
    <mergeCell ref="B226:B228"/>
    <mergeCell ref="L226:L228"/>
    <mergeCell ref="B229:B231"/>
    <mergeCell ref="L229:L231"/>
    <mergeCell ref="B232:B234"/>
    <mergeCell ref="L232:L234"/>
    <mergeCell ref="B235:B237"/>
    <mergeCell ref="L235:L237"/>
    <mergeCell ref="B238:B240"/>
    <mergeCell ref="L238:L240"/>
    <mergeCell ref="B242:J242"/>
    <mergeCell ref="B244:B246"/>
    <mergeCell ref="L244:L246"/>
    <mergeCell ref="B247:B249"/>
    <mergeCell ref="L247:L249"/>
    <mergeCell ref="B250:B252"/>
    <mergeCell ref="L250:L252"/>
    <mergeCell ref="B253:B255"/>
    <mergeCell ref="L253:L255"/>
    <mergeCell ref="B256:B258"/>
    <mergeCell ref="L256:L258"/>
    <mergeCell ref="B259:B261"/>
    <mergeCell ref="L259:L261"/>
    <mergeCell ref="B262:B264"/>
    <mergeCell ref="L262:L264"/>
    <mergeCell ref="B265:B267"/>
    <mergeCell ref="L265:L267"/>
    <mergeCell ref="B268:B270"/>
    <mergeCell ref="L268:L270"/>
    <mergeCell ref="B271:B273"/>
    <mergeCell ref="L271:L273"/>
    <mergeCell ref="B274:B276"/>
    <mergeCell ref="L274:L276"/>
    <mergeCell ref="B277:B279"/>
    <mergeCell ref="L277:L279"/>
    <mergeCell ref="B281:J281"/>
    <mergeCell ref="B283:B285"/>
    <mergeCell ref="L283:L285"/>
    <mergeCell ref="B286:B288"/>
    <mergeCell ref="L286:L288"/>
    <mergeCell ref="B289:B291"/>
    <mergeCell ref="L289:L291"/>
    <mergeCell ref="B292:B294"/>
    <mergeCell ref="L292:L294"/>
    <mergeCell ref="B295:B297"/>
    <mergeCell ref="L295:L297"/>
    <mergeCell ref="B298:B300"/>
    <mergeCell ref="L298:L300"/>
    <mergeCell ref="B301:B303"/>
    <mergeCell ref="L301:L303"/>
    <mergeCell ref="B304:B306"/>
    <mergeCell ref="L304:L306"/>
    <mergeCell ref="B307:B309"/>
    <mergeCell ref="L307:L309"/>
    <mergeCell ref="B310:B312"/>
    <mergeCell ref="L310:L312"/>
    <mergeCell ref="B313:B315"/>
    <mergeCell ref="L313:L315"/>
    <mergeCell ref="B316:B318"/>
    <mergeCell ref="L316:L318"/>
    <mergeCell ref="B320:J320"/>
    <mergeCell ref="B322:B324"/>
    <mergeCell ref="L322:L324"/>
    <mergeCell ref="B325:B327"/>
    <mergeCell ref="L325:L327"/>
    <mergeCell ref="B328:B330"/>
    <mergeCell ref="L328:L330"/>
    <mergeCell ref="B331:B333"/>
    <mergeCell ref="L331:L333"/>
    <mergeCell ref="B334:B336"/>
    <mergeCell ref="L334:L336"/>
    <mergeCell ref="B337:B339"/>
    <mergeCell ref="L337:L339"/>
    <mergeCell ref="B340:B342"/>
    <mergeCell ref="L340:L342"/>
    <mergeCell ref="B343:B345"/>
    <mergeCell ref="L343:L345"/>
    <mergeCell ref="B346:B348"/>
    <mergeCell ref="L346:L348"/>
    <mergeCell ref="B349:B351"/>
    <mergeCell ref="L349:L351"/>
    <mergeCell ref="B352:B354"/>
    <mergeCell ref="L352:L354"/>
    <mergeCell ref="B355:B357"/>
    <mergeCell ref="L355:L357"/>
    <mergeCell ref="B359:J359"/>
    <mergeCell ref="B361:B363"/>
    <mergeCell ref="L361:L363"/>
    <mergeCell ref="B364:B366"/>
    <mergeCell ref="L364:L366"/>
    <mergeCell ref="B367:B369"/>
    <mergeCell ref="L367:L369"/>
    <mergeCell ref="B370:B372"/>
    <mergeCell ref="L370:L372"/>
    <mergeCell ref="B373:B375"/>
    <mergeCell ref="L373:L375"/>
    <mergeCell ref="B376:B378"/>
    <mergeCell ref="L376:L378"/>
    <mergeCell ref="B379:B381"/>
    <mergeCell ref="L379:L381"/>
    <mergeCell ref="B382:B384"/>
    <mergeCell ref="L382:L384"/>
    <mergeCell ref="B385:B387"/>
    <mergeCell ref="L385:L387"/>
    <mergeCell ref="B388:B390"/>
    <mergeCell ref="L388:L390"/>
    <mergeCell ref="B391:B393"/>
    <mergeCell ref="L391:L393"/>
    <mergeCell ref="B394:B396"/>
    <mergeCell ref="L394:L396"/>
    <mergeCell ref="B398:J398"/>
    <mergeCell ref="B400:B402"/>
    <mergeCell ref="L400:L402"/>
    <mergeCell ref="B403:B405"/>
    <mergeCell ref="L403:L405"/>
    <mergeCell ref="B406:B408"/>
    <mergeCell ref="L406:L408"/>
    <mergeCell ref="B409:B411"/>
    <mergeCell ref="L409:L411"/>
    <mergeCell ref="B412:B414"/>
    <mergeCell ref="L412:L414"/>
    <mergeCell ref="B415:B417"/>
    <mergeCell ref="L415:L417"/>
    <mergeCell ref="B418:B420"/>
    <mergeCell ref="L418:L420"/>
    <mergeCell ref="B421:B423"/>
    <mergeCell ref="L421:L423"/>
    <mergeCell ref="B424:B426"/>
    <mergeCell ref="L424:L426"/>
    <mergeCell ref="B427:B429"/>
    <mergeCell ref="L427:L429"/>
    <mergeCell ref="B430:B432"/>
    <mergeCell ref="L430:L432"/>
    <mergeCell ref="B433:B435"/>
    <mergeCell ref="L433:L435"/>
    <mergeCell ref="B437:J437"/>
    <mergeCell ref="B439:B441"/>
    <mergeCell ref="L439:L441"/>
    <mergeCell ref="B442:B444"/>
    <mergeCell ref="L442:L444"/>
    <mergeCell ref="B445:B447"/>
    <mergeCell ref="L445:L447"/>
    <mergeCell ref="B448:B450"/>
    <mergeCell ref="L448:L450"/>
    <mergeCell ref="B451:B453"/>
    <mergeCell ref="L451:L453"/>
    <mergeCell ref="B454:B456"/>
    <mergeCell ref="L454:L456"/>
    <mergeCell ref="B457:B459"/>
    <mergeCell ref="L457:L459"/>
    <mergeCell ref="B460:B462"/>
    <mergeCell ref="L460:L462"/>
    <mergeCell ref="B463:B465"/>
    <mergeCell ref="L463:L465"/>
    <mergeCell ref="B466:B468"/>
    <mergeCell ref="L466:L468"/>
    <mergeCell ref="B469:B471"/>
    <mergeCell ref="L469:L471"/>
    <mergeCell ref="B472:B474"/>
    <mergeCell ref="L472:L474"/>
    <mergeCell ref="B476:J476"/>
    <mergeCell ref="B478:B480"/>
    <mergeCell ref="L478:L480"/>
    <mergeCell ref="B481:B483"/>
    <mergeCell ref="L481:L483"/>
    <mergeCell ref="B484:B486"/>
    <mergeCell ref="L484:L486"/>
    <mergeCell ref="B487:B489"/>
    <mergeCell ref="L487:L489"/>
    <mergeCell ref="B490:B492"/>
    <mergeCell ref="L490:L492"/>
    <mergeCell ref="B493:B495"/>
    <mergeCell ref="L493:L495"/>
    <mergeCell ref="B496:B498"/>
    <mergeCell ref="L496:L498"/>
    <mergeCell ref="B499:B501"/>
    <mergeCell ref="L499:L501"/>
    <mergeCell ref="B502:B504"/>
    <mergeCell ref="L502:L504"/>
    <mergeCell ref="B505:B507"/>
    <mergeCell ref="L505:L507"/>
    <mergeCell ref="B508:B510"/>
    <mergeCell ref="L508:L510"/>
    <mergeCell ref="B511:B513"/>
    <mergeCell ref="L511:L513"/>
    <mergeCell ref="B516:L516"/>
    <mergeCell ref="B517:L518"/>
  </mergeCells>
  <conditionalFormatting sqref="C8:I8 C10:I10 C12:I12 C14:I14 C16:I16 C18:I18">
    <cfRule type="expression" priority="2" aboveAverage="0" equalAverage="0" bottom="0" percent="0" rank="0" text="" dxfId="0">
      <formula>ISNUMBER(SEARCH("(+",C8))</formula>
    </cfRule>
    <cfRule type="expression" priority="3" aboveAverage="0" equalAverage="0" bottom="0" percent="0" rank="0" text="" dxfId="1">
      <formula>AND($C$5="CDGRUN",C8&lt;&gt;"")</formula>
    </cfRule>
    <cfRule type="expression" priority="4" aboveAverage="0" equalAverage="0" bottom="0" percent="0" rank="0" text="" dxfId="2">
      <formula>AND($C$5="CDGDZA",C8&lt;&gt;"")</formula>
    </cfRule>
    <cfRule type="expression" priority="5" aboveAverage="0" equalAverage="0" bottom="0" percent="0" rank="0" text="" dxfId="3">
      <formula>AND($C$5="BKKRUN",C8&lt;&gt;"")</formula>
    </cfRule>
    <cfRule type="expression" priority="6" aboveAverage="0" equalAverage="0" bottom="0" percent="0" rank="0" text="" dxfId="4">
      <formula>AND($C$5="DZARUN",C8&lt;&gt;"")</formula>
    </cfRule>
    <cfRule type="expression" priority="7" aboveAverage="0" equalAverage="0" bottom="0" percent="0" rank="0" text="" dxfId="5">
      <formula>AND($C$5="MRURUN",C8&lt;&gt;"")</formula>
    </cfRule>
    <cfRule type="expression" priority="8" aboveAverage="0" equalAverage="0" bottom="0" percent="0" rank="0" text="" dxfId="6">
      <formula>AND($C$5="NOSRUN",C8&lt;&gt;"")</formula>
    </cfRule>
    <cfRule type="expression" priority="9" aboveAverage="0" equalAverage="0" bottom="0" percent="0" rank="0" text="" dxfId="7">
      <formula>AND($C$5="RUNTNR",C8&lt;&gt;"")</formula>
    </cfRule>
    <cfRule type="expression" priority="10" aboveAverage="0" equalAverage="0" bottom="0" percent="0" rank="0" text="" dxfId="8">
      <formula>AND($C$5="JNBRUN",C8&lt;&gt;"")</formula>
    </cfRule>
    <cfRule type="expression" priority="11" aboveAverage="0" equalAverage="0" bottom="0" percent="0" rank="0" text="" dxfId="9">
      <formula>AND($C$5="CPTRUN",C8&lt;&gt;"")</formula>
    </cfRule>
    <cfRule type="expression" priority="12" aboveAverage="0" equalAverage="0" bottom="0" percent="0" rank="0" text="" dxfId="10">
      <formula>AND($C$5="DIERUN",C8&lt;&gt;"")</formula>
    </cfRule>
    <cfRule type="expression" priority="13" aboveAverage="0" equalAverage="0" bottom="0" percent="0" rank="0" text="" dxfId="11">
      <formula>AND($C$5="RRGRUN",C8&lt;&gt;"")</formula>
    </cfRule>
    <cfRule type="expression" priority="14" aboveAverage="0" equalAverage="0" bottom="0" percent="0" rank="0" text="" dxfId="12">
      <formula>AND($C$5="TMMRUN",C8&lt;&gt;"")</formula>
    </cfRule>
  </conditionalFormatting>
  <conditionalFormatting sqref="D49:J84 D88:J123 D127:J162 D166:J201 D205:J240 D244:J279 D283:J318 D322:J357 D361:J396 D400:J435 D439:J474 D478:J513">
    <cfRule type="expression" priority="15" aboveAverage="0" equalAverage="0" bottom="0" percent="0" rank="0" text="" dxfId="13">
      <formula>D49&lt;&gt;""</formula>
    </cfRule>
  </conditionalFormatting>
  <conditionalFormatting sqref="B25:B36">
    <cfRule type="expression" priority="16" aboveAverage="0" equalAverage="0" bottom="0" percent="0" rank="0" text="" dxfId="1">
      <formula>$B25="CDGRUN"</formula>
    </cfRule>
    <cfRule type="expression" priority="17" aboveAverage="0" equalAverage="0" bottom="0" percent="0" rank="0" text="" dxfId="2">
      <formula>$B25="CDGDZA"</formula>
    </cfRule>
    <cfRule type="expression" priority="18" aboveAverage="0" equalAverage="0" bottom="0" percent="0" rank="0" text="" dxfId="3">
      <formula>$B25="BKKRUN"</formula>
    </cfRule>
    <cfRule type="expression" priority="19" aboveAverage="0" equalAverage="0" bottom="0" percent="0" rank="0" text="" dxfId="4">
      <formula>$B25="DZARUN"</formula>
    </cfRule>
    <cfRule type="expression" priority="20" aboveAverage="0" equalAverage="0" bottom="0" percent="0" rank="0" text="" dxfId="5">
      <formula>$B25="MRURUN"</formula>
    </cfRule>
    <cfRule type="expression" priority="21" aboveAverage="0" equalAverage="0" bottom="0" percent="0" rank="0" text="" dxfId="6">
      <formula>$B25="NOSRUN"</formula>
    </cfRule>
    <cfRule type="expression" priority="22" aboveAverage="0" equalAverage="0" bottom="0" percent="0" rank="0" text="" dxfId="7">
      <formula>$B25="RUNTNR"</formula>
    </cfRule>
    <cfRule type="expression" priority="23" aboveAverage="0" equalAverage="0" bottom="0" percent="0" rank="0" text="" dxfId="8">
      <formula>$B25="JNBRUN"</formula>
    </cfRule>
    <cfRule type="expression" priority="24" aboveAverage="0" equalAverage="0" bottom="0" percent="0" rank="0" text="" dxfId="9">
      <formula>$B25="CPTRUN"</formula>
    </cfRule>
    <cfRule type="expression" priority="25" aboveAverage="0" equalAverage="0" bottom="0" percent="0" rank="0" text="" dxfId="10">
      <formula>$B25="DIERUN"</formula>
    </cfRule>
    <cfRule type="expression" priority="26" aboveAverage="0" equalAverage="0" bottom="0" percent="0" rank="0" text="" dxfId="11">
      <formula>$B25="RRGRUN"</formula>
    </cfRule>
    <cfRule type="expression" priority="27" aboveAverage="0" equalAverage="0" bottom="0" percent="0" rank="0" text="" dxfId="12">
      <formula>$B25="TMMRUN"</formula>
    </cfRule>
  </conditionalFormatting>
  <conditionalFormatting sqref="B49:B84 B88:B123 B127:B162 B166:B201 B205:B240 B244:B279 B283:B318 B322:B357 B361:B396 B400:B435 B439:B474 B478:B513">
    <cfRule type="expression" priority="28" aboveAverage="0" equalAverage="0" bottom="0" percent="0" rank="0" text="" dxfId="14">
      <formula>$B49="CDGRUN"</formula>
    </cfRule>
    <cfRule type="expression" priority="29" aboveAverage="0" equalAverage="0" bottom="0" percent="0" rank="0" text="" dxfId="15">
      <formula>$B49="CDGDZA"</formula>
    </cfRule>
    <cfRule type="expression" priority="30" aboveAverage="0" equalAverage="0" bottom="0" percent="0" rank="0" text="" dxfId="16">
      <formula>$B49="BKKRUN"</formula>
    </cfRule>
    <cfRule type="expression" priority="31" aboveAverage="0" equalAverage="0" bottom="0" percent="0" rank="0" text="" dxfId="17">
      <formula>$B49="DZARUN"</formula>
    </cfRule>
    <cfRule type="expression" priority="32" aboveAverage="0" equalAverage="0" bottom="0" percent="0" rank="0" text="" dxfId="18">
      <formula>$B49="MRURUN"</formula>
    </cfRule>
    <cfRule type="expression" priority="33" aboveAverage="0" equalAverage="0" bottom="0" percent="0" rank="0" text="" dxfId="19">
      <formula>$B49="NOSRUN"</formula>
    </cfRule>
    <cfRule type="expression" priority="34" aboveAverage="0" equalAverage="0" bottom="0" percent="0" rank="0" text="" dxfId="20">
      <formula>$B49="RUNTNR"</formula>
    </cfRule>
    <cfRule type="expression" priority="35" aboveAverage="0" equalAverage="0" bottom="0" percent="0" rank="0" text="" dxfId="21">
      <formula>$B49="JNBRUN"</formula>
    </cfRule>
    <cfRule type="expression" priority="36" aboveAverage="0" equalAverage="0" bottom="0" percent="0" rank="0" text="" dxfId="22">
      <formula>$B49="CPTRUN"</formula>
    </cfRule>
    <cfRule type="expression" priority="37" aboveAverage="0" equalAverage="0" bottom="0" percent="0" rank="0" text="" dxfId="23">
      <formula>$B49="DIERUN"</formula>
    </cfRule>
    <cfRule type="expression" priority="38" aboveAverage="0" equalAverage="0" bottom="0" percent="0" rank="0" text="" dxfId="24">
      <formula>$B49="RRGRUN"</formula>
    </cfRule>
    <cfRule type="expression" priority="39" aboveAverage="0" equalAverage="0" bottom="0" percent="0" rank="0" text="" dxfId="25">
      <formula>$B49="TMMRUN"</formula>
    </cfRule>
  </conditionalFormatting>
  <conditionalFormatting sqref="B47:K47">
    <cfRule type="expression" priority="40" aboveAverage="0" equalAverage="0" bottom="0" percent="0" rank="0" text="" dxfId="26">
      <formula>$C$4="avril 2027"</formula>
    </cfRule>
  </conditionalFormatting>
  <conditionalFormatting sqref="B86:K86">
    <cfRule type="expression" priority="41" aboveAverage="0" equalAverage="0" bottom="0" percent="0" rank="0" text="" dxfId="26">
      <formula>$C$4="mai 2027"</formula>
    </cfRule>
  </conditionalFormatting>
  <conditionalFormatting sqref="B125:K125">
    <cfRule type="expression" priority="42" aboveAverage="0" equalAverage="0" bottom="0" percent="0" rank="0" text="" dxfId="26">
      <formula>$C$4="juin 2027"</formula>
    </cfRule>
  </conditionalFormatting>
  <conditionalFormatting sqref="B164:K164">
    <cfRule type="expression" priority="43" aboveAverage="0" equalAverage="0" bottom="0" percent="0" rank="0" text="" dxfId="26">
      <formula>$C$4="juillet 2027"</formula>
    </cfRule>
  </conditionalFormatting>
  <conditionalFormatting sqref="B203:K203">
    <cfRule type="expression" priority="44" aboveAverage="0" equalAverage="0" bottom="0" percent="0" rank="0" text="" dxfId="26">
      <formula>$C$4="aout 2027"</formula>
    </cfRule>
  </conditionalFormatting>
  <conditionalFormatting sqref="B242:K242">
    <cfRule type="expression" priority="45" aboveAverage="0" equalAverage="0" bottom="0" percent="0" rank="0" text="" dxfId="26">
      <formula>$C$4="septembre 2027"</formula>
    </cfRule>
  </conditionalFormatting>
  <conditionalFormatting sqref="B281:K281">
    <cfRule type="expression" priority="46" aboveAverage="0" equalAverage="0" bottom="0" percent="0" rank="0" text="" dxfId="26">
      <formula>$C$4="octobre 2027"</formula>
    </cfRule>
  </conditionalFormatting>
  <conditionalFormatting sqref="B320:K320">
    <cfRule type="expression" priority="47" aboveAverage="0" equalAverage="0" bottom="0" percent="0" rank="0" text="" dxfId="26">
      <formula>$C$4="novembre 2027"</formula>
    </cfRule>
  </conditionalFormatting>
  <conditionalFormatting sqref="B359:K359">
    <cfRule type="expression" priority="48" aboveAverage="0" equalAverage="0" bottom="0" percent="0" rank="0" text="" dxfId="26">
      <formula>$C$4="decembre 2027"</formula>
    </cfRule>
  </conditionalFormatting>
  <conditionalFormatting sqref="B398:K398">
    <cfRule type="expression" priority="49" aboveAverage="0" equalAverage="0" bottom="0" percent="0" rank="0" text="" dxfId="26">
      <formula>$C$4="janvier 2028"</formula>
    </cfRule>
  </conditionalFormatting>
  <conditionalFormatting sqref="B437:K437">
    <cfRule type="expression" priority="50" aboveAverage="0" equalAverage="0" bottom="0" percent="0" rank="0" text="" dxfId="26">
      <formula>$C$4="fevrier 2028"</formula>
    </cfRule>
  </conditionalFormatting>
  <conditionalFormatting sqref="B476:K476">
    <cfRule type="expression" priority="51" aboveAverage="0" equalAverage="0" bottom="0" percent="0" rank="0" text="" dxfId="26">
      <formula>$C$4="mars 2028"</formula>
    </cfRule>
  </conditionalFormatting>
  <dataValidations count="7">
    <dataValidation allowBlank="false" errorStyle="stop" operator="between" showDropDown="false" showErrorMessage="false" showInputMessage="false" sqref="C4" type="list">
      <formula1>$W$4:$W$15</formula1>
      <formula2>0</formula2>
    </dataValidation>
    <dataValidation allowBlank="false" errorStyle="stop" operator="between" showDropDown="false" showErrorMessage="false" showInputMessage="false" sqref="C5" type="list">
      <formula1>$Z$4:$Z$15</formula1>
      <formula2>0</formula2>
    </dataValidation>
    <dataValidation allowBlank="true" error="Taper x pour cocher la case, ou touche Suppr pour la decocher." errorStyle="stop" errorTitle="Case a cocher" operator="between" showDropDown="true" showErrorMessage="false" showInputMessage="false" sqref="D49:J84 D88:J123 D127:J162 D166:J201 D205:J240 D244:J279 D283:J318 D322:J357 D361:J396 D400:J435 D439:J474 D478:J513" type="list">
      <formula1>"x,X"</formula1>
      <formula2>0</formula2>
    </dataValidation>
    <dataValidation allowBlank="true" errorStyle="stop" operator="between" showDropDown="false" showErrorMessage="false" showInputMessage="false" sqref="C521:C560" type="list">
      <formula1>$Z$4:$Z$15</formula1>
      <formula2>0</formula2>
    </dataValidation>
    <dataValidation allowBlank="true" errorStyle="stop" operator="between" showDropDown="false" showErrorMessage="false" showInputMessage="false" sqref="D521:D560" type="list">
      <formula1>$Y$4:$Y$6</formula1>
      <formula2>0</formula2>
    </dataValidation>
    <dataValidation allowBlank="true" error="Nombre de rotations : entier entre 1 et 20." errorStyle="stop" errorTitle="Valeur invalide" operator="between" showDropDown="false" showErrorMessage="false" showInputMessage="false" sqref="E521:E560" type="whole">
      <formula1>1</formula1>
      <formula2>20</formula2>
    </dataValidation>
    <dataValidation allowBlank="true" error="Date hors de l'annee avril 2027 - mars 2028 : le vol ne sera visible dans aucun mois." errorStyle="warning" errorTitle="Date hors annee d'exploitation" operator="between" showDropDown="false" showErrorMessage="false" showInputMessage="false" sqref="B521:B560" type="date">
      <formula1>DATE(2027,4,1)</formula1>
      <formula2>DATE(2028,3,31)</formula2>
    </dataValidation>
  </dataValidations>
  <hyperlinks>
    <hyperlink ref="C44" location="'Programme de vols'!B47" display="avril 2027"/>
    <hyperlink ref="D44" location="'Programme de vols'!B86" display="mai 2027"/>
    <hyperlink ref="E44" location="'Programme de vols'!B125" display="juin 2027"/>
    <hyperlink ref="F44" location="'Programme de vols'!B164" display="juillet 2027"/>
    <hyperlink ref="G44" location="'Programme de vols'!B203" display="aout 2027"/>
    <hyperlink ref="H44" location="'Programme de vols'!B242" display="septembre 2027"/>
    <hyperlink ref="C45" location="'Programme de vols'!B281" display="octobre 2027"/>
    <hyperlink ref="D45" location="'Programme de vols'!B320" display="novembre 2027"/>
    <hyperlink ref="E45" location="'Programme de vols'!B359" display="decembre 2027"/>
    <hyperlink ref="F45" location="'Programme de vols'!B398" display="janvier 2028"/>
    <hyperlink ref="G45" location="'Programme de vols'!B437" display="fevrier 2028"/>
    <hyperlink ref="H45" location="'Programme de vols'!B476" display="mars 2028"/>
    <hyperlink ref="K47" location="'Programme de vols'!B1" display="^ Retour en haut"/>
    <hyperlink ref="K86" location="'Programme de vols'!B1" display="^ Retour en haut"/>
    <hyperlink ref="K125" location="'Programme de vols'!B1" display="^ Retour en haut"/>
    <hyperlink ref="K164" location="'Programme de vols'!B1" display="^ Retour en haut"/>
    <hyperlink ref="K203" location="'Programme de vols'!B1" display="^ Retour en haut"/>
    <hyperlink ref="K242" location="'Programme de vols'!B1" display="^ Retour en haut"/>
    <hyperlink ref="K281" location="'Programme de vols'!B1" display="^ Retour en haut"/>
    <hyperlink ref="K320" location="'Programme de vols'!B1" display="^ Retour en haut"/>
    <hyperlink ref="K359" location="'Programme de vols'!B1" display="^ Retour en haut"/>
    <hyperlink ref="K398" location="'Programme de vols'!B1" display="^ Retour en haut"/>
    <hyperlink ref="K437" location="'Programme de vols'!B1" display="^ Retour en haut"/>
    <hyperlink ref="K476" location="'Programme de vols'!B1" display="^ Retour en hau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14" min="3" style="0" width="13"/>
    <col collapsed="false" customWidth="true" hidden="false" outlineLevel="0" max="15" min="15" style="0" width="14"/>
    <col collapsed="false" customWidth="true" hidden="false" outlineLevel="0" max="16" min="16" style="0" width="10"/>
  </cols>
  <sheetData>
    <row r="1" customFormat="false" ht="30" hidden="false" customHeight="true" outlineLevel="0" collapsed="false">
      <c r="B1" s="1" t="s">
        <v>147</v>
      </c>
      <c r="C1" s="1"/>
      <c r="D1" s="1"/>
      <c r="E1" s="1"/>
      <c r="F1" s="1"/>
      <c r="G1" s="1"/>
      <c r="H1" s="1"/>
      <c r="I1" s="1"/>
      <c r="J1" s="1"/>
    </row>
    <row r="2" customFormat="false" ht="25.5" hidden="false" customHeight="true" outlineLevel="0" collapsed="false">
      <c r="B2" s="2" t="s">
        <v>148</v>
      </c>
      <c r="C2" s="2"/>
      <c r="D2" s="2"/>
      <c r="E2" s="2"/>
      <c r="F2" s="2"/>
      <c r="G2" s="2"/>
      <c r="H2" s="2"/>
      <c r="I2" s="2"/>
      <c r="J2" s="2"/>
    </row>
    <row r="4" customFormat="false" ht="15" hidden="false" customHeight="false" outlineLevel="0" collapsed="false">
      <c r="B4" s="13" t="s">
        <v>149</v>
      </c>
      <c r="C4" s="13"/>
      <c r="D4" s="13"/>
      <c r="E4" s="13"/>
      <c r="F4" s="13"/>
    </row>
    <row r="5" customFormat="false" ht="15" hidden="false" customHeight="false" outlineLevel="0" collapsed="false">
      <c r="B5" s="58" t="s">
        <v>122</v>
      </c>
      <c r="C5" s="58" t="s">
        <v>150</v>
      </c>
      <c r="D5" s="58" t="s">
        <v>151</v>
      </c>
    </row>
    <row r="6" customFormat="false" ht="15" hidden="false" customHeight="false" outlineLevel="0" collapsed="false">
      <c r="B6" s="17" t="s">
        <v>11</v>
      </c>
      <c r="C6" s="59" t="n">
        <v>438</v>
      </c>
      <c r="D6" s="60" t="s">
        <v>152</v>
      </c>
      <c r="E6" s="60"/>
      <c r="F6" s="60"/>
    </row>
    <row r="7" customFormat="false" ht="15" hidden="false" customHeight="false" outlineLevel="0" collapsed="false">
      <c r="B7" s="17" t="s">
        <v>18</v>
      </c>
      <c r="C7" s="59" t="n">
        <v>262</v>
      </c>
      <c r="D7" s="60" t="s">
        <v>153</v>
      </c>
      <c r="E7" s="60"/>
      <c r="F7" s="60"/>
    </row>
    <row r="8" customFormat="false" ht="15" hidden="false" customHeight="false" outlineLevel="0" collapsed="false">
      <c r="B8" s="17" t="s">
        <v>23</v>
      </c>
      <c r="C8" s="59" t="n">
        <v>174</v>
      </c>
      <c r="D8" s="60" t="s">
        <v>154</v>
      </c>
      <c r="E8" s="60"/>
      <c r="F8" s="60"/>
    </row>
    <row r="11" customFormat="false" ht="15" hidden="false" customHeight="false" outlineLevel="0" collapsed="false">
      <c r="B11" s="13" t="s">
        <v>155</v>
      </c>
      <c r="C11" s="13"/>
      <c r="D11" s="13"/>
      <c r="E11" s="13"/>
      <c r="F11" s="13"/>
    </row>
    <row r="12" customFormat="false" ht="30" hidden="false" customHeight="true" outlineLevel="0" collapsed="false">
      <c r="B12" s="31" t="s">
        <v>82</v>
      </c>
      <c r="C12" s="31" t="s">
        <v>156</v>
      </c>
      <c r="D12" s="31" t="s">
        <v>157</v>
      </c>
      <c r="E12" s="31" t="s">
        <v>158</v>
      </c>
      <c r="F12" s="31" t="s">
        <v>159</v>
      </c>
    </row>
    <row r="13" customFormat="false" ht="15" hidden="false" customHeight="false" outlineLevel="0" collapsed="false">
      <c r="B13" s="61" t="s">
        <v>12</v>
      </c>
      <c r="C13" s="62" t="n">
        <f aca="false">SUM(C$46:C$57)</f>
        <v>542</v>
      </c>
      <c r="D13" s="63" t="n">
        <f aca="false">SUM(C$29:C$40)</f>
        <v>202284</v>
      </c>
      <c r="E13" s="62" t="n">
        <f aca="false">IFERROR(D13/C13,"-")</f>
        <v>373.217712177122</v>
      </c>
      <c r="F13" s="64" t="n">
        <f aca="false">IFERROR(D13/$D$25,0)</f>
        <v>0.358220056243049</v>
      </c>
    </row>
    <row r="14" customFormat="false" ht="15" hidden="false" customHeight="false" outlineLevel="0" collapsed="false">
      <c r="B14" s="65" t="s">
        <v>19</v>
      </c>
      <c r="C14" s="62" t="n">
        <f aca="false">SUM(D$46:D$57)</f>
        <v>157</v>
      </c>
      <c r="D14" s="63" t="n">
        <f aca="false">SUM(D$29:D$40)</f>
        <v>50286</v>
      </c>
      <c r="E14" s="62" t="n">
        <f aca="false">IFERROR(D14/C14,"-")</f>
        <v>320.292993630573</v>
      </c>
      <c r="F14" s="64" t="n">
        <f aca="false">IFERROR(D14/$D$25,0)</f>
        <v>0.0890503141535563</v>
      </c>
    </row>
    <row r="15" customFormat="false" ht="15" hidden="false" customHeight="false" outlineLevel="0" collapsed="false">
      <c r="B15" s="66" t="s">
        <v>24</v>
      </c>
      <c r="C15" s="62" t="n">
        <f aca="false">SUM(E$46:E$57)</f>
        <v>104</v>
      </c>
      <c r="D15" s="63" t="n">
        <f aca="false">SUM(E$29:E$40)</f>
        <v>27248</v>
      </c>
      <c r="E15" s="62" t="n">
        <f aca="false">IFERROR(D15/C15,"-")</f>
        <v>262</v>
      </c>
      <c r="F15" s="64" t="n">
        <f aca="false">IFERROR(D15/$D$25,0)</f>
        <v>0.0482528528826334</v>
      </c>
    </row>
    <row r="16" customFormat="false" ht="15" hidden="false" customHeight="false" outlineLevel="0" collapsed="false">
      <c r="B16" s="67" t="s">
        <v>35</v>
      </c>
      <c r="C16" s="62" t="n">
        <f aca="false">SUM(F$46:F$57)</f>
        <v>314</v>
      </c>
      <c r="D16" s="63" t="n">
        <f aca="false">SUM(F$29:F$40)</f>
        <v>59212</v>
      </c>
      <c r="E16" s="62" t="n">
        <f aca="false">IFERROR(D16/C16,"-")</f>
        <v>188.573248407643</v>
      </c>
      <c r="F16" s="64" t="n">
        <f aca="false">IFERROR(D16/$D$25,0)</f>
        <v>0.104857161071876</v>
      </c>
    </row>
    <row r="17" customFormat="false" ht="15" hidden="false" customHeight="false" outlineLevel="0" collapsed="false">
      <c r="B17" s="68" t="s">
        <v>39</v>
      </c>
      <c r="C17" s="62" t="n">
        <f aca="false">SUM(G$46:G$57)</f>
        <v>209</v>
      </c>
      <c r="D17" s="63" t="n">
        <f aca="false">SUM(G$29:G$40)</f>
        <v>36366</v>
      </c>
      <c r="E17" s="62" t="n">
        <f aca="false">IFERROR(D17/C17,"-")</f>
        <v>174</v>
      </c>
      <c r="F17" s="64" t="n">
        <f aca="false">IFERROR(D17/$D$25,0)</f>
        <v>0.0643997081594923</v>
      </c>
    </row>
    <row r="18" customFormat="false" ht="15" hidden="false" customHeight="false" outlineLevel="0" collapsed="false">
      <c r="B18" s="69" t="s">
        <v>14</v>
      </c>
      <c r="C18" s="62" t="n">
        <f aca="false">SUM(H$46:H$57)</f>
        <v>171</v>
      </c>
      <c r="D18" s="63" t="n">
        <f aca="false">SUM(H$29:H$40)</f>
        <v>29754</v>
      </c>
      <c r="E18" s="62" t="n">
        <f aca="false">IFERROR(D18/C18,"-")</f>
        <v>174</v>
      </c>
      <c r="F18" s="64" t="n">
        <f aca="false">IFERROR(D18/$D$25,0)</f>
        <v>0.0526906703123118</v>
      </c>
    </row>
    <row r="19" customFormat="false" ht="15" hidden="false" customHeight="false" outlineLevel="0" collapsed="false">
      <c r="B19" s="70" t="s">
        <v>45</v>
      </c>
      <c r="C19" s="62" t="n">
        <f aca="false">SUM(I$46:I$57)</f>
        <v>157</v>
      </c>
      <c r="D19" s="63" t="n">
        <f aca="false">SUM(I$29:I$40)</f>
        <v>27318</v>
      </c>
      <c r="E19" s="62" t="n">
        <f aca="false">IFERROR(D19/C19,"-")</f>
        <v>174</v>
      </c>
      <c r="F19" s="64" t="n">
        <f aca="false">IFERROR(D19/$D$25,0)</f>
        <v>0.0483768142633506</v>
      </c>
    </row>
    <row r="20" customFormat="false" ht="15" hidden="false" customHeight="false" outlineLevel="0" collapsed="false">
      <c r="B20" s="71" t="s">
        <v>48</v>
      </c>
      <c r="C20" s="62" t="n">
        <f aca="false">SUM(J$46:J$57)</f>
        <v>105</v>
      </c>
      <c r="D20" s="63" t="n">
        <f aca="false">SUM(J$29:J$40)</f>
        <v>27510</v>
      </c>
      <c r="E20" s="62" t="n">
        <f aca="false">IFERROR(D20/C20,"-")</f>
        <v>262</v>
      </c>
      <c r="F20" s="64" t="n">
        <f aca="false">IFERROR(D20/$D$25,0)</f>
        <v>0.0487168226218895</v>
      </c>
    </row>
    <row r="21" customFormat="false" ht="15" hidden="false" customHeight="false" outlineLevel="0" collapsed="false">
      <c r="B21" s="72" t="s">
        <v>52</v>
      </c>
      <c r="C21" s="62" t="n">
        <f aca="false">SUM(K$46:K$57)</f>
        <v>53</v>
      </c>
      <c r="D21" s="63" t="n">
        <f aca="false">SUM(K$29:K$40)</f>
        <v>13886</v>
      </c>
      <c r="E21" s="62" t="n">
        <f aca="false">IFERROR(D21/C21,"-")</f>
        <v>262</v>
      </c>
      <c r="F21" s="64" t="n">
        <f aca="false">IFERROR(D21/$D$25,0)</f>
        <v>0.0245903961805728</v>
      </c>
    </row>
    <row r="22" customFormat="false" ht="15" hidden="false" customHeight="false" outlineLevel="0" collapsed="false">
      <c r="B22" s="73" t="s">
        <v>55</v>
      </c>
      <c r="C22" s="62" t="n">
        <f aca="false">SUM(L$46:L$57)</f>
        <v>104</v>
      </c>
      <c r="D22" s="63" t="n">
        <f aca="false">SUM(L$29:L$40)</f>
        <v>18096</v>
      </c>
      <c r="E22" s="62" t="n">
        <f aca="false">IFERROR(D22/C22,"-")</f>
        <v>174</v>
      </c>
      <c r="F22" s="64" t="n">
        <f aca="false">IFERROR(D22/$D$25,0)</f>
        <v>0.0320457877922832</v>
      </c>
    </row>
    <row r="23" customFormat="false" ht="15" hidden="false" customHeight="false" outlineLevel="0" collapsed="false">
      <c r="B23" s="74" t="s">
        <v>58</v>
      </c>
      <c r="C23" s="62" t="n">
        <f aca="false">SUM(M$46:M$57)</f>
        <v>314</v>
      </c>
      <c r="D23" s="63" t="n">
        <f aca="false">SUM(M$29:M$40)</f>
        <v>54636</v>
      </c>
      <c r="E23" s="62" t="n">
        <f aca="false">IFERROR(D23/C23,"-")</f>
        <v>174</v>
      </c>
      <c r="F23" s="64" t="n">
        <f aca="false">IFERROR(D23/$D$25,0)</f>
        <v>0.0967536285267013</v>
      </c>
    </row>
    <row r="24" customFormat="false" ht="15" hidden="false" customHeight="false" outlineLevel="0" collapsed="false">
      <c r="B24" s="75" t="s">
        <v>61</v>
      </c>
      <c r="C24" s="62" t="n">
        <f aca="false">SUM(N$46:N$57)</f>
        <v>104</v>
      </c>
      <c r="D24" s="63" t="n">
        <f aca="false">SUM(N$29:N$40)</f>
        <v>18096</v>
      </c>
      <c r="E24" s="62" t="n">
        <f aca="false">IFERROR(D24/C24,"-")</f>
        <v>174</v>
      </c>
      <c r="F24" s="64" t="n">
        <f aca="false">IFERROR(D24/$D$25,0)</f>
        <v>0.0320457877922832</v>
      </c>
    </row>
    <row r="25" customFormat="false" ht="15" hidden="false" customHeight="false" outlineLevel="0" collapsed="false">
      <c r="B25" s="36" t="s">
        <v>160</v>
      </c>
      <c r="C25" s="76" t="n">
        <f aca="false">SUM(C13:C24)</f>
        <v>2334</v>
      </c>
      <c r="D25" s="76" t="n">
        <f aca="false">SUM(D13:D24)</f>
        <v>564692</v>
      </c>
      <c r="E25" s="77" t="n">
        <f aca="false">IFERROR(D25/C25,"-")</f>
        <v>241.941730934019</v>
      </c>
      <c r="F25" s="78" t="n">
        <f aca="false">IFERROR(D25/$D$25,0)</f>
        <v>1</v>
      </c>
    </row>
    <row r="27" customFormat="false" ht="15" hidden="false" customHeight="false" outlineLevel="0" collapsed="false">
      <c r="B27" s="13" t="s">
        <v>161</v>
      </c>
      <c r="C27" s="13"/>
      <c r="D27" s="13"/>
      <c r="E27" s="13"/>
      <c r="F27" s="13"/>
      <c r="G27" s="13"/>
      <c r="H27" s="13"/>
      <c r="I27" s="13"/>
      <c r="J27" s="13"/>
      <c r="K27" s="13"/>
      <c r="L27" s="13"/>
      <c r="M27" s="13"/>
      <c r="N27" s="13"/>
      <c r="O27" s="13"/>
    </row>
    <row r="28" customFormat="false" ht="15" hidden="false" customHeight="false" outlineLevel="0" collapsed="false">
      <c r="B28" s="58" t="s">
        <v>162</v>
      </c>
      <c r="C28" s="79" t="s">
        <v>12</v>
      </c>
      <c r="D28" s="80" t="s">
        <v>19</v>
      </c>
      <c r="E28" s="81" t="s">
        <v>24</v>
      </c>
      <c r="F28" s="82" t="s">
        <v>35</v>
      </c>
      <c r="G28" s="83" t="s">
        <v>39</v>
      </c>
      <c r="H28" s="84" t="s">
        <v>14</v>
      </c>
      <c r="I28" s="85" t="s">
        <v>45</v>
      </c>
      <c r="J28" s="86" t="s">
        <v>48</v>
      </c>
      <c r="K28" s="87" t="s">
        <v>52</v>
      </c>
      <c r="L28" s="88" t="s">
        <v>55</v>
      </c>
      <c r="M28" s="89" t="s">
        <v>58</v>
      </c>
      <c r="N28" s="90" t="s">
        <v>61</v>
      </c>
      <c r="O28" s="58" t="s">
        <v>163</v>
      </c>
    </row>
    <row r="29" customFormat="false" ht="15" hidden="false" customHeight="false" outlineLevel="0" collapsed="false">
      <c r="B29" s="91" t="str">
        <f aca="false">'Programme de vols'!$W$4</f>
        <v>avril 2027</v>
      </c>
      <c r="C29" s="92" t="n">
        <f aca="false">$C$6*C94+$C$7*C95+$C$8*C96</f>
        <v>16718</v>
      </c>
      <c r="D29" s="92" t="n">
        <f aca="false">$C$6*C97+$C$7*C98+$C$8*C99</f>
        <v>4110</v>
      </c>
      <c r="E29" s="92" t="n">
        <f aca="false">$C$6*C100+$C$7*C101+$C$8*C102</f>
        <v>2096</v>
      </c>
      <c r="F29" s="92" t="n">
        <f aca="false">$C$6*C103+$C$7*C104+$C$8*C105</f>
        <v>4876</v>
      </c>
      <c r="G29" s="92" t="n">
        <f aca="false">$C$6*C106+$C$7*C107+$C$8*C108</f>
        <v>2958</v>
      </c>
      <c r="H29" s="92" t="n">
        <f aca="false">$C$6*C109+$C$7*C110+$C$8*C111</f>
        <v>2610</v>
      </c>
      <c r="I29" s="92" t="n">
        <f aca="false">$C$6*C112+$C$7*C113+$C$8*C114</f>
        <v>2262</v>
      </c>
      <c r="J29" s="92" t="n">
        <f aca="false">$C$6*C115+$C$7*C116+$C$8*C117</f>
        <v>2358</v>
      </c>
      <c r="K29" s="92" t="n">
        <f aca="false">$C$6*C118+$C$7*C119+$C$8*C120</f>
        <v>1310</v>
      </c>
      <c r="L29" s="92" t="n">
        <f aca="false">$C$6*C121+$C$7*C122+$C$8*C123</f>
        <v>1392</v>
      </c>
      <c r="M29" s="92" t="n">
        <f aca="false">$C$6*C124+$C$7*C125+$C$8*C126</f>
        <v>4524</v>
      </c>
      <c r="N29" s="92" t="n">
        <f aca="false">$C$6*C127+$C$7*C128+$C$8*C129</f>
        <v>1392</v>
      </c>
      <c r="O29" s="93" t="n">
        <f aca="false">SUM(C29:N29)</f>
        <v>46606</v>
      </c>
    </row>
    <row r="30" customFormat="false" ht="15" hidden="false" customHeight="false" outlineLevel="0" collapsed="false">
      <c r="B30" s="91" t="str">
        <f aca="false">'Programme de vols'!$W$5</f>
        <v>mai 2027</v>
      </c>
      <c r="C30" s="92" t="n">
        <f aca="false">$C$6*D94+$C$7*D95+$C$8*D96</f>
        <v>16806</v>
      </c>
      <c r="D30" s="92" t="n">
        <f aca="false">$C$6*D97+$C$7*D98+$C$8*D99</f>
        <v>4286</v>
      </c>
      <c r="E30" s="92" t="n">
        <f aca="false">$C$6*D100+$C$7*D101+$C$8*D102</f>
        <v>2358</v>
      </c>
      <c r="F30" s="92" t="n">
        <f aca="false">$C$6*D103+$C$7*D104+$C$8*D105</f>
        <v>4702</v>
      </c>
      <c r="G30" s="92" t="n">
        <f aca="false">$C$6*D106+$C$7*D107+$C$8*D108</f>
        <v>3132</v>
      </c>
      <c r="H30" s="92" t="n">
        <f aca="false">$C$6*D109+$C$7*D110+$C$8*D111</f>
        <v>2436</v>
      </c>
      <c r="I30" s="92" t="n">
        <f aca="false">$C$6*D112+$C$7*D113+$C$8*D114</f>
        <v>2262</v>
      </c>
      <c r="J30" s="92" t="n">
        <f aca="false">$C$6*D115+$C$7*D116+$C$8*D117</f>
        <v>2358</v>
      </c>
      <c r="K30" s="92" t="n">
        <f aca="false">$C$6*D118+$C$7*D119+$C$8*D120</f>
        <v>1048</v>
      </c>
      <c r="L30" s="92" t="n">
        <f aca="false">$C$6*D121+$C$7*D122+$C$8*D123</f>
        <v>1566</v>
      </c>
      <c r="M30" s="92" t="n">
        <f aca="false">$C$6*D124+$C$7*D125+$C$8*D126</f>
        <v>4524</v>
      </c>
      <c r="N30" s="92" t="n">
        <f aca="false">$C$6*D127+$C$7*D128+$C$8*D129</f>
        <v>1566</v>
      </c>
      <c r="O30" s="93" t="n">
        <f aca="false">SUM(C30:N30)</f>
        <v>47044</v>
      </c>
    </row>
    <row r="31" customFormat="false" ht="15" hidden="false" customHeight="false" outlineLevel="0" collapsed="false">
      <c r="B31" s="91" t="str">
        <f aca="false">'Programme de vols'!$W$6</f>
        <v>juin 2027</v>
      </c>
      <c r="C31" s="92" t="n">
        <f aca="false">$C$6*E94+$C$7*E95+$C$8*E96</f>
        <v>15932</v>
      </c>
      <c r="D31" s="92" t="n">
        <f aca="false">$C$6*E97+$C$7*E98+$C$8*E99</f>
        <v>4110</v>
      </c>
      <c r="E31" s="92" t="n">
        <f aca="false">$C$6*E100+$C$7*E101+$C$8*E102</f>
        <v>2358</v>
      </c>
      <c r="F31" s="92" t="n">
        <f aca="false">$C$6*E103+$C$7*E104+$C$8*E105</f>
        <v>5138</v>
      </c>
      <c r="G31" s="92" t="n">
        <f aca="false">$C$6*E106+$C$7*E107+$C$8*E108</f>
        <v>2958</v>
      </c>
      <c r="H31" s="92" t="n">
        <f aca="false">$C$6*E109+$C$7*E110+$C$8*E111</f>
        <v>2088</v>
      </c>
      <c r="I31" s="92" t="n">
        <f aca="false">$C$6*E112+$C$7*E113+$C$8*E114</f>
        <v>2262</v>
      </c>
      <c r="J31" s="92" t="n">
        <f aca="false">$C$6*E115+$C$7*E116+$C$8*E117</f>
        <v>2096</v>
      </c>
      <c r="K31" s="92" t="n">
        <f aca="false">$C$6*E118+$C$7*E119+$C$8*E120</f>
        <v>1048</v>
      </c>
      <c r="L31" s="92" t="n">
        <f aca="false">$C$6*E121+$C$7*E122+$C$8*E123</f>
        <v>1566</v>
      </c>
      <c r="M31" s="92" t="n">
        <f aca="false">$C$6*E124+$C$7*E125+$C$8*E126</f>
        <v>4524</v>
      </c>
      <c r="N31" s="92" t="n">
        <f aca="false">$C$6*E127+$C$7*E128+$C$8*E129</f>
        <v>1566</v>
      </c>
      <c r="O31" s="93" t="n">
        <f aca="false">SUM(C31:N31)</f>
        <v>45646</v>
      </c>
    </row>
    <row r="32" customFormat="false" ht="15" hidden="false" customHeight="false" outlineLevel="0" collapsed="false">
      <c r="B32" s="91" t="str">
        <f aca="false">'Programme de vols'!$W$7</f>
        <v>juillet 2027</v>
      </c>
      <c r="C32" s="92" t="n">
        <f aca="false">$C$6*F94+$C$7*F95+$C$8*F96</f>
        <v>16632</v>
      </c>
      <c r="D32" s="92" t="n">
        <f aca="false">$C$6*F97+$C$7*F98+$C$8*F99</f>
        <v>4110</v>
      </c>
      <c r="E32" s="92" t="n">
        <f aca="false">$C$6*F100+$C$7*F101+$C$8*F102</f>
        <v>2358</v>
      </c>
      <c r="F32" s="92" t="n">
        <f aca="false">$C$6*F103+$C$7*F104+$C$8*F105</f>
        <v>4876</v>
      </c>
      <c r="G32" s="92" t="n">
        <f aca="false">$C$6*F106+$C$7*F107+$C$8*F108</f>
        <v>2958</v>
      </c>
      <c r="H32" s="92" t="n">
        <f aca="false">$C$6*F109+$C$7*F110+$C$8*F111</f>
        <v>3132</v>
      </c>
      <c r="I32" s="92" t="n">
        <f aca="false">$C$6*F112+$C$7*F113+$C$8*F114</f>
        <v>2436</v>
      </c>
      <c r="J32" s="92" t="n">
        <f aca="false">$C$6*F115+$C$7*F116+$C$8*F117</f>
        <v>2358</v>
      </c>
      <c r="K32" s="92" t="n">
        <f aca="false">$C$6*F118+$C$7*F119+$C$8*F120</f>
        <v>1310</v>
      </c>
      <c r="L32" s="92" t="n">
        <f aca="false">$C$6*F121+$C$7*F122+$C$8*F123</f>
        <v>1566</v>
      </c>
      <c r="M32" s="92" t="n">
        <f aca="false">$C$6*F124+$C$7*F125+$C$8*F126</f>
        <v>4698</v>
      </c>
      <c r="N32" s="92" t="n">
        <f aca="false">$C$6*F127+$C$7*F128+$C$8*F129</f>
        <v>1392</v>
      </c>
      <c r="O32" s="93" t="n">
        <f aca="false">SUM(C32:N32)</f>
        <v>47826</v>
      </c>
    </row>
    <row r="33" customFormat="false" ht="15" hidden="false" customHeight="false" outlineLevel="0" collapsed="false">
      <c r="B33" s="91" t="str">
        <f aca="false">'Programme de vols'!$W$8</f>
        <v>aout 2027</v>
      </c>
      <c r="C33" s="92" t="n">
        <f aca="false">$C$6*G94+$C$7*G95+$C$8*G96</f>
        <v>21700</v>
      </c>
      <c r="D33" s="92" t="n">
        <f aca="false">$C$6*G97+$C$7*G98+$C$8*G99</f>
        <v>4548</v>
      </c>
      <c r="E33" s="92" t="n">
        <f aca="false">$C$6*G100+$C$7*G101+$C$8*G102</f>
        <v>2096</v>
      </c>
      <c r="F33" s="92" t="n">
        <f aca="false">$C$6*G103+$C$7*G104+$C$8*G105</f>
        <v>4876</v>
      </c>
      <c r="G33" s="92" t="n">
        <f aca="false">$C$6*G106+$C$7*G107+$C$8*G108</f>
        <v>3132</v>
      </c>
      <c r="H33" s="92" t="n">
        <f aca="false">$C$6*G109+$C$7*G110+$C$8*G111</f>
        <v>2262</v>
      </c>
      <c r="I33" s="92" t="n">
        <f aca="false">$C$6*G112+$C$7*G113+$C$8*G114</f>
        <v>2262</v>
      </c>
      <c r="J33" s="92" t="n">
        <f aca="false">$C$6*G115+$C$7*G116+$C$8*G117</f>
        <v>2358</v>
      </c>
      <c r="K33" s="92" t="n">
        <f aca="false">$C$6*G118+$C$7*G119+$C$8*G120</f>
        <v>1048</v>
      </c>
      <c r="L33" s="92" t="n">
        <f aca="false">$C$6*G121+$C$7*G122+$C$8*G123</f>
        <v>1566</v>
      </c>
      <c r="M33" s="92" t="n">
        <f aca="false">$C$6*G124+$C$7*G125+$C$8*G126</f>
        <v>4524</v>
      </c>
      <c r="N33" s="92" t="n">
        <f aca="false">$C$6*G127+$C$7*G128+$C$8*G129</f>
        <v>1566</v>
      </c>
      <c r="O33" s="93" t="n">
        <f aca="false">SUM(C33:N33)</f>
        <v>51938</v>
      </c>
    </row>
    <row r="34" customFormat="false" ht="15" hidden="false" customHeight="false" outlineLevel="0" collapsed="false">
      <c r="B34" s="91" t="str">
        <f aca="false">'Programme de vols'!$W$9</f>
        <v>septembre 2027</v>
      </c>
      <c r="C34" s="92" t="n">
        <f aca="false">$C$6*H94+$C$7*H95+$C$8*H96</f>
        <v>15932</v>
      </c>
      <c r="D34" s="92" t="n">
        <f aca="false">$C$6*H97+$C$7*H98+$C$8*H99</f>
        <v>3848</v>
      </c>
      <c r="E34" s="92" t="n">
        <f aca="false">$C$6*H100+$C$7*H101+$C$8*H102</f>
        <v>2358</v>
      </c>
      <c r="F34" s="92" t="n">
        <f aca="false">$C$6*H103+$C$7*H104+$C$8*H105</f>
        <v>5138</v>
      </c>
      <c r="G34" s="92" t="n">
        <f aca="false">$C$6*H106+$C$7*H107+$C$8*H108</f>
        <v>2958</v>
      </c>
      <c r="H34" s="92" t="n">
        <f aca="false">$C$6*H109+$C$7*H110+$C$8*H111</f>
        <v>2262</v>
      </c>
      <c r="I34" s="92" t="n">
        <f aca="false">$C$6*H112+$C$7*H113+$C$8*H114</f>
        <v>2262</v>
      </c>
      <c r="J34" s="92" t="n">
        <f aca="false">$C$6*H115+$C$7*H116+$C$8*H117</f>
        <v>2096</v>
      </c>
      <c r="K34" s="92" t="n">
        <f aca="false">$C$6*H118+$C$7*H119+$C$8*H120</f>
        <v>1310</v>
      </c>
      <c r="L34" s="92" t="n">
        <f aca="false">$C$6*H121+$C$7*H122+$C$8*H123</f>
        <v>1392</v>
      </c>
      <c r="M34" s="92" t="n">
        <f aca="false">$C$6*H124+$C$7*H125+$C$8*H126</f>
        <v>4524</v>
      </c>
      <c r="N34" s="92" t="n">
        <f aca="false">$C$6*H127+$C$7*H128+$C$8*H129</f>
        <v>1566</v>
      </c>
      <c r="O34" s="93" t="n">
        <f aca="false">SUM(C34:N34)</f>
        <v>45646</v>
      </c>
    </row>
    <row r="35" customFormat="false" ht="15" hidden="false" customHeight="false" outlineLevel="0" collapsed="false">
      <c r="B35" s="91" t="str">
        <f aca="false">'Programme de vols'!$W$10</f>
        <v>octobre 2027</v>
      </c>
      <c r="C35" s="92" t="n">
        <f aca="false">$C$6*I94+$C$7*I95+$C$8*I96</f>
        <v>16632</v>
      </c>
      <c r="D35" s="92" t="n">
        <f aca="false">$C$6*I97+$C$7*I98+$C$8*I99</f>
        <v>4548</v>
      </c>
      <c r="E35" s="92" t="n">
        <f aca="false">$C$6*I100+$C$7*I101+$C$8*I102</f>
        <v>2358</v>
      </c>
      <c r="F35" s="92" t="n">
        <f aca="false">$C$6*I103+$C$7*I104+$C$8*I105</f>
        <v>4702</v>
      </c>
      <c r="G35" s="92" t="n">
        <f aca="false">$C$6*I106+$C$7*I107+$C$8*I108</f>
        <v>3132</v>
      </c>
      <c r="H35" s="92" t="n">
        <f aca="false">$C$6*I109+$C$7*I110+$C$8*I111</f>
        <v>2262</v>
      </c>
      <c r="I35" s="92" t="n">
        <f aca="false">$C$6*I112+$C$7*I113+$C$8*I114</f>
        <v>2262</v>
      </c>
      <c r="J35" s="92" t="n">
        <f aca="false">$C$6*I115+$C$7*I116+$C$8*I117</f>
        <v>2358</v>
      </c>
      <c r="K35" s="92" t="n">
        <f aca="false">$C$6*I118+$C$7*I119+$C$8*I120</f>
        <v>1048</v>
      </c>
      <c r="L35" s="92" t="n">
        <f aca="false">$C$6*I121+$C$7*I122+$C$8*I123</f>
        <v>1566</v>
      </c>
      <c r="M35" s="92" t="n">
        <f aca="false">$C$6*I124+$C$7*I125+$C$8*I126</f>
        <v>4524</v>
      </c>
      <c r="N35" s="92" t="n">
        <f aca="false">$C$6*I127+$C$7*I128+$C$8*I129</f>
        <v>1566</v>
      </c>
      <c r="O35" s="93" t="n">
        <f aca="false">SUM(C35:N35)</f>
        <v>46958</v>
      </c>
    </row>
    <row r="36" customFormat="false" ht="15" hidden="false" customHeight="false" outlineLevel="0" collapsed="false">
      <c r="B36" s="91" t="str">
        <f aca="false">'Programme de vols'!$W$11</f>
        <v>novembre 2027</v>
      </c>
      <c r="C36" s="92" t="n">
        <f aca="false">$C$6*J94+$C$7*J95+$C$8*J96</f>
        <v>16368</v>
      </c>
      <c r="D36" s="92" t="n">
        <f aca="false">$C$6*J97+$C$7*J98+$C$8*J99</f>
        <v>4110</v>
      </c>
      <c r="E36" s="92" t="n">
        <f aca="false">$C$6*J100+$C$7*J101+$C$8*J102</f>
        <v>2096</v>
      </c>
      <c r="F36" s="92" t="n">
        <f aca="false">$C$6*J103+$C$7*J104+$C$8*J105</f>
        <v>4876</v>
      </c>
      <c r="G36" s="92" t="n">
        <f aca="false">$C$6*J106+$C$7*J107+$C$8*J108</f>
        <v>2958</v>
      </c>
      <c r="H36" s="92" t="n">
        <f aca="false">$C$6*J109+$C$7*J110+$C$8*J111</f>
        <v>2262</v>
      </c>
      <c r="I36" s="92" t="n">
        <f aca="false">$C$6*J112+$C$7*J113+$C$8*J114</f>
        <v>2262</v>
      </c>
      <c r="J36" s="92" t="n">
        <f aca="false">$C$6*J115+$C$7*J116+$C$8*J117</f>
        <v>2358</v>
      </c>
      <c r="K36" s="92" t="n">
        <f aca="false">$C$6*J118+$C$7*J119+$C$8*J120</f>
        <v>1048</v>
      </c>
      <c r="L36" s="92" t="n">
        <f aca="false">$C$6*J121+$C$7*J122+$C$8*J123</f>
        <v>1566</v>
      </c>
      <c r="M36" s="92" t="n">
        <f aca="false">$C$6*J124+$C$7*J125+$C$8*J126</f>
        <v>4524</v>
      </c>
      <c r="N36" s="92" t="n">
        <f aca="false">$C$6*J127+$C$7*J128+$C$8*J129</f>
        <v>1392</v>
      </c>
      <c r="O36" s="93" t="n">
        <f aca="false">SUM(C36:N36)</f>
        <v>45820</v>
      </c>
    </row>
    <row r="37" customFormat="false" ht="15" hidden="false" customHeight="false" outlineLevel="0" collapsed="false">
      <c r="B37" s="91" t="str">
        <f aca="false">'Programme de vols'!$W$12</f>
        <v>decembre 2027</v>
      </c>
      <c r="C37" s="92" t="n">
        <f aca="false">$C$6*K94+$C$7*K95+$C$8*K96</f>
        <v>16632</v>
      </c>
      <c r="D37" s="92" t="n">
        <f aca="false">$C$6*K97+$C$7*K98+$C$8*K99</f>
        <v>4110</v>
      </c>
      <c r="E37" s="92" t="n">
        <f aca="false">$C$6*K100+$C$7*K101+$C$8*K102</f>
        <v>2358</v>
      </c>
      <c r="F37" s="92" t="n">
        <f aca="false">$C$6*K103+$C$7*K104+$C$8*K105</f>
        <v>5312</v>
      </c>
      <c r="G37" s="92" t="n">
        <f aca="false">$C$6*K106+$C$7*K107+$C$8*K108</f>
        <v>3132</v>
      </c>
      <c r="H37" s="92" t="n">
        <f aca="false">$C$6*K109+$C$7*K110+$C$8*K111</f>
        <v>3654</v>
      </c>
      <c r="I37" s="92" t="n">
        <f aca="false">$C$6*K112+$C$7*K113+$C$8*K114</f>
        <v>2262</v>
      </c>
      <c r="J37" s="92" t="n">
        <f aca="false">$C$6*K115+$C$7*K116+$C$8*K117</f>
        <v>2358</v>
      </c>
      <c r="K37" s="92" t="n">
        <f aca="false">$C$6*K118+$C$7*K119+$C$8*K120</f>
        <v>1310</v>
      </c>
      <c r="L37" s="92" t="n">
        <f aca="false">$C$6*K121+$C$7*K122+$C$8*K123</f>
        <v>1392</v>
      </c>
      <c r="M37" s="92" t="n">
        <f aca="false">$C$6*K124+$C$7*K125+$C$8*K126</f>
        <v>4698</v>
      </c>
      <c r="N37" s="92" t="n">
        <f aca="false">$C$6*K127+$C$7*K128+$C$8*K129</f>
        <v>1566</v>
      </c>
      <c r="O37" s="93" t="n">
        <f aca="false">SUM(C37:N37)</f>
        <v>48784</v>
      </c>
    </row>
    <row r="38" customFormat="false" ht="15" hidden="false" customHeight="false" outlineLevel="0" collapsed="false">
      <c r="B38" s="91" t="str">
        <f aca="false">'Programme de vols'!$W$13</f>
        <v>janvier 2028</v>
      </c>
      <c r="C38" s="92" t="n">
        <f aca="false">$C$6*L94+$C$7*L95+$C$8*L96</f>
        <v>16806</v>
      </c>
      <c r="D38" s="92" t="n">
        <f aca="false">$C$6*L97+$C$7*L98+$C$8*L99</f>
        <v>4286</v>
      </c>
      <c r="E38" s="92" t="n">
        <f aca="false">$C$6*L100+$C$7*L101+$C$8*L102</f>
        <v>2358</v>
      </c>
      <c r="F38" s="92" t="n">
        <f aca="false">$C$6*L103+$C$7*L104+$C$8*L105</f>
        <v>4702</v>
      </c>
      <c r="G38" s="92" t="n">
        <f aca="false">$C$6*L106+$C$7*L107+$C$8*L108</f>
        <v>3132</v>
      </c>
      <c r="H38" s="92" t="n">
        <f aca="false">$C$6*L109+$C$7*L110+$C$8*L111</f>
        <v>2436</v>
      </c>
      <c r="I38" s="92" t="n">
        <f aca="false">$C$6*L112+$C$7*L113+$C$8*L114</f>
        <v>2262</v>
      </c>
      <c r="J38" s="92" t="n">
        <f aca="false">$C$6*L115+$C$7*L116+$C$8*L117</f>
        <v>2358</v>
      </c>
      <c r="K38" s="92" t="n">
        <f aca="false">$C$6*L118+$C$7*L119+$C$8*L120</f>
        <v>1048</v>
      </c>
      <c r="L38" s="92" t="n">
        <f aca="false">$C$6*L121+$C$7*L122+$C$8*L123</f>
        <v>1566</v>
      </c>
      <c r="M38" s="92" t="n">
        <f aca="false">$C$6*L124+$C$7*L125+$C$8*L126</f>
        <v>4524</v>
      </c>
      <c r="N38" s="92" t="n">
        <f aca="false">$C$6*L127+$C$7*L128+$C$8*L129</f>
        <v>1566</v>
      </c>
      <c r="O38" s="93" t="n">
        <f aca="false">SUM(C38:N38)</f>
        <v>47044</v>
      </c>
    </row>
    <row r="39" customFormat="false" ht="15" hidden="false" customHeight="false" outlineLevel="0" collapsed="false">
      <c r="B39" s="91" t="str">
        <f aca="false">'Programme de vols'!$W$14</f>
        <v>fevrier 2028</v>
      </c>
      <c r="C39" s="92" t="n">
        <f aca="false">$C$6*M94+$C$7*M95+$C$8*M96</f>
        <v>15494</v>
      </c>
      <c r="D39" s="92" t="n">
        <f aca="false">$C$6*M97+$C$7*M98+$C$8*M99</f>
        <v>4110</v>
      </c>
      <c r="E39" s="92" t="n">
        <f aca="false">$C$6*M100+$C$7*M101+$C$8*M102</f>
        <v>2096</v>
      </c>
      <c r="F39" s="92" t="n">
        <f aca="false">$C$6*M103+$C$7*M104+$C$8*M105</f>
        <v>4702</v>
      </c>
      <c r="G39" s="92" t="n">
        <f aca="false">$C$6*M106+$C$7*M107+$C$8*M108</f>
        <v>2784</v>
      </c>
      <c r="H39" s="92" t="n">
        <f aca="false">$C$6*M109+$C$7*M110+$C$8*M111</f>
        <v>2088</v>
      </c>
      <c r="I39" s="92" t="n">
        <f aca="false">$C$6*M112+$C$7*M113+$C$8*M114</f>
        <v>2262</v>
      </c>
      <c r="J39" s="92" t="n">
        <f aca="false">$C$6*M115+$C$7*M116+$C$8*M117</f>
        <v>2096</v>
      </c>
      <c r="K39" s="92" t="n">
        <f aca="false">$C$6*M118+$C$7*M119+$C$8*M120</f>
        <v>1048</v>
      </c>
      <c r="L39" s="92" t="n">
        <f aca="false">$C$6*M121+$C$7*M122+$C$8*M123</f>
        <v>1566</v>
      </c>
      <c r="M39" s="92" t="n">
        <f aca="false">$C$6*M124+$C$7*M125+$C$8*M126</f>
        <v>4350</v>
      </c>
      <c r="N39" s="92" t="n">
        <f aca="false">$C$6*M127+$C$7*M128+$C$8*M129</f>
        <v>1392</v>
      </c>
      <c r="O39" s="93" t="n">
        <f aca="false">SUM(C39:N39)</f>
        <v>43988</v>
      </c>
    </row>
    <row r="40" customFormat="false" ht="15" hidden="false" customHeight="false" outlineLevel="0" collapsed="false">
      <c r="B40" s="91" t="str">
        <f aca="false">'Programme de vols'!$W$15</f>
        <v>mars 2028</v>
      </c>
      <c r="C40" s="92" t="n">
        <f aca="false">$C$6*N94+$C$7*N95+$C$8*N96</f>
        <v>16632</v>
      </c>
      <c r="D40" s="92" t="n">
        <f aca="false">$C$6*N97+$C$7*N98+$C$8*N99</f>
        <v>4110</v>
      </c>
      <c r="E40" s="92" t="n">
        <f aca="false">$C$6*N100+$C$7*N101+$C$8*N102</f>
        <v>2358</v>
      </c>
      <c r="F40" s="92" t="n">
        <f aca="false">$C$6*N103+$C$7*N104+$C$8*N105</f>
        <v>5312</v>
      </c>
      <c r="G40" s="92" t="n">
        <f aca="false">$C$6*N106+$C$7*N107+$C$8*N108</f>
        <v>3132</v>
      </c>
      <c r="H40" s="92" t="n">
        <f aca="false">$C$6*N109+$C$7*N110+$C$8*N111</f>
        <v>2262</v>
      </c>
      <c r="I40" s="92" t="n">
        <f aca="false">$C$6*N112+$C$7*N113+$C$8*N114</f>
        <v>2262</v>
      </c>
      <c r="J40" s="92" t="n">
        <f aca="false">$C$6*N115+$C$7*N116+$C$8*N117</f>
        <v>2358</v>
      </c>
      <c r="K40" s="92" t="n">
        <f aca="false">$C$6*N118+$C$7*N119+$C$8*N120</f>
        <v>1310</v>
      </c>
      <c r="L40" s="92" t="n">
        <f aca="false">$C$6*N121+$C$7*N122+$C$8*N123</f>
        <v>1392</v>
      </c>
      <c r="M40" s="92" t="n">
        <f aca="false">$C$6*N124+$C$7*N125+$C$8*N126</f>
        <v>4698</v>
      </c>
      <c r="N40" s="92" t="n">
        <f aca="false">$C$6*N127+$C$7*N128+$C$8*N129</f>
        <v>1566</v>
      </c>
      <c r="O40" s="93" t="n">
        <f aca="false">SUM(C40:N40)</f>
        <v>47392</v>
      </c>
    </row>
    <row r="41" customFormat="false" ht="15" hidden="false" customHeight="false" outlineLevel="0" collapsed="false">
      <c r="B41" s="94" t="s">
        <v>164</v>
      </c>
      <c r="C41" s="95" t="n">
        <f aca="false">SUM(C29:C40)</f>
        <v>202284</v>
      </c>
      <c r="D41" s="95" t="n">
        <f aca="false">SUM(D29:D40)</f>
        <v>50286</v>
      </c>
      <c r="E41" s="95" t="n">
        <f aca="false">SUM(E29:E40)</f>
        <v>27248</v>
      </c>
      <c r="F41" s="95" t="n">
        <f aca="false">SUM(F29:F40)</f>
        <v>59212</v>
      </c>
      <c r="G41" s="95" t="n">
        <f aca="false">SUM(G29:G40)</f>
        <v>36366</v>
      </c>
      <c r="H41" s="95" t="n">
        <f aca="false">SUM(H29:H40)</f>
        <v>29754</v>
      </c>
      <c r="I41" s="95" t="n">
        <f aca="false">SUM(I29:I40)</f>
        <v>27318</v>
      </c>
      <c r="J41" s="95" t="n">
        <f aca="false">SUM(J29:J40)</f>
        <v>27510</v>
      </c>
      <c r="K41" s="95" t="n">
        <f aca="false">SUM(K29:K40)</f>
        <v>13886</v>
      </c>
      <c r="L41" s="95" t="n">
        <f aca="false">SUM(L29:L40)</f>
        <v>18096</v>
      </c>
      <c r="M41" s="95" t="n">
        <f aca="false">SUM(M29:M40)</f>
        <v>54636</v>
      </c>
      <c r="N41" s="95" t="n">
        <f aca="false">SUM(N29:N40)</f>
        <v>18096</v>
      </c>
      <c r="O41" s="95" t="n">
        <f aca="false">SUM(O29:O40)</f>
        <v>564692</v>
      </c>
    </row>
    <row r="44" customFormat="false" ht="15" hidden="false" customHeight="false" outlineLevel="0" collapsed="false">
      <c r="B44" s="13" t="s">
        <v>165</v>
      </c>
      <c r="C44" s="13"/>
      <c r="D44" s="13"/>
      <c r="E44" s="13"/>
      <c r="F44" s="13"/>
      <c r="G44" s="13"/>
      <c r="H44" s="13"/>
      <c r="I44" s="13"/>
      <c r="J44" s="13"/>
      <c r="K44" s="13"/>
      <c r="L44" s="13"/>
      <c r="M44" s="13"/>
      <c r="N44" s="13"/>
      <c r="O44" s="13"/>
    </row>
    <row r="45" customFormat="false" ht="15" hidden="false" customHeight="false" outlineLevel="0" collapsed="false">
      <c r="B45" s="58" t="s">
        <v>162</v>
      </c>
      <c r="C45" s="79" t="s">
        <v>12</v>
      </c>
      <c r="D45" s="80" t="s">
        <v>19</v>
      </c>
      <c r="E45" s="81" t="s">
        <v>24</v>
      </c>
      <c r="F45" s="82" t="s">
        <v>35</v>
      </c>
      <c r="G45" s="83" t="s">
        <v>39</v>
      </c>
      <c r="H45" s="84" t="s">
        <v>14</v>
      </c>
      <c r="I45" s="85" t="s">
        <v>45</v>
      </c>
      <c r="J45" s="86" t="s">
        <v>48</v>
      </c>
      <c r="K45" s="87" t="s">
        <v>52</v>
      </c>
      <c r="L45" s="88" t="s">
        <v>55</v>
      </c>
      <c r="M45" s="89" t="s">
        <v>58</v>
      </c>
      <c r="N45" s="90" t="s">
        <v>61</v>
      </c>
      <c r="O45" s="58" t="s">
        <v>163</v>
      </c>
    </row>
    <row r="46" customFormat="false" ht="15" hidden="false" customHeight="false" outlineLevel="0" collapsed="false">
      <c r="B46" s="91" t="str">
        <f aca="false">'Programme de vols'!$W$4</f>
        <v>avril 2027</v>
      </c>
      <c r="C46" s="92" t="n">
        <f aca="false">SUM(C94:C96)</f>
        <v>45</v>
      </c>
      <c r="D46" s="92" t="n">
        <f aca="false">SUM(C97:C99)</f>
        <v>13</v>
      </c>
      <c r="E46" s="92" t="n">
        <f aca="false">SUM(C100:C102)</f>
        <v>8</v>
      </c>
      <c r="F46" s="92" t="n">
        <f aca="false">SUM(C103:C105)</f>
        <v>26</v>
      </c>
      <c r="G46" s="92" t="n">
        <f aca="false">SUM(C106:C108)</f>
        <v>17</v>
      </c>
      <c r="H46" s="92" t="n">
        <f aca="false">SUM(C109:C111)</f>
        <v>15</v>
      </c>
      <c r="I46" s="92" t="n">
        <f aca="false">SUM(C112:C114)</f>
        <v>13</v>
      </c>
      <c r="J46" s="92" t="n">
        <f aca="false">SUM(C115:C117)</f>
        <v>9</v>
      </c>
      <c r="K46" s="92" t="n">
        <f aca="false">SUM(C118:C120)</f>
        <v>5</v>
      </c>
      <c r="L46" s="92" t="n">
        <f aca="false">SUM(C121:C123)</f>
        <v>8</v>
      </c>
      <c r="M46" s="92" t="n">
        <f aca="false">SUM(C124:C126)</f>
        <v>26</v>
      </c>
      <c r="N46" s="92" t="n">
        <f aca="false">SUM(C127:C129)</f>
        <v>8</v>
      </c>
      <c r="O46" s="93" t="n">
        <f aca="false">SUM(C46:N46)</f>
        <v>193</v>
      </c>
    </row>
    <row r="47" customFormat="false" ht="15" hidden="false" customHeight="false" outlineLevel="0" collapsed="false">
      <c r="B47" s="91" t="str">
        <f aca="false">'Programme de vols'!$W$5</f>
        <v>mai 2027</v>
      </c>
      <c r="C47" s="92" t="n">
        <f aca="false">SUM(D94:D96)</f>
        <v>45</v>
      </c>
      <c r="D47" s="92" t="n">
        <f aca="false">SUM(D97:D99)</f>
        <v>13</v>
      </c>
      <c r="E47" s="92" t="n">
        <f aca="false">SUM(D100:D102)</f>
        <v>9</v>
      </c>
      <c r="F47" s="92" t="n">
        <f aca="false">SUM(D103:D105)</f>
        <v>25</v>
      </c>
      <c r="G47" s="92" t="n">
        <f aca="false">SUM(D106:D108)</f>
        <v>18</v>
      </c>
      <c r="H47" s="92" t="n">
        <f aca="false">SUM(D109:D111)</f>
        <v>14</v>
      </c>
      <c r="I47" s="92" t="n">
        <f aca="false">SUM(D112:D114)</f>
        <v>13</v>
      </c>
      <c r="J47" s="92" t="n">
        <f aca="false">SUM(D115:D117)</f>
        <v>9</v>
      </c>
      <c r="K47" s="92" t="n">
        <f aca="false">SUM(D118:D120)</f>
        <v>4</v>
      </c>
      <c r="L47" s="92" t="n">
        <f aca="false">SUM(D121:D123)</f>
        <v>9</v>
      </c>
      <c r="M47" s="92" t="n">
        <f aca="false">SUM(D124:D126)</f>
        <v>26</v>
      </c>
      <c r="N47" s="92" t="n">
        <f aca="false">SUM(D127:D129)</f>
        <v>9</v>
      </c>
      <c r="O47" s="93" t="n">
        <f aca="false">SUM(C47:N47)</f>
        <v>194</v>
      </c>
    </row>
    <row r="48" customFormat="false" ht="15" hidden="false" customHeight="false" outlineLevel="0" collapsed="false">
      <c r="B48" s="91" t="str">
        <f aca="false">'Programme de vols'!$W$6</f>
        <v>juin 2027</v>
      </c>
      <c r="C48" s="92" t="n">
        <f aca="false">SUM(E94:E96)</f>
        <v>42</v>
      </c>
      <c r="D48" s="92" t="n">
        <f aca="false">SUM(E97:E99)</f>
        <v>13</v>
      </c>
      <c r="E48" s="92" t="n">
        <f aca="false">SUM(E100:E102)</f>
        <v>9</v>
      </c>
      <c r="F48" s="92" t="n">
        <f aca="false">SUM(E103:E105)</f>
        <v>27</v>
      </c>
      <c r="G48" s="92" t="n">
        <f aca="false">SUM(E106:E108)</f>
        <v>17</v>
      </c>
      <c r="H48" s="92" t="n">
        <f aca="false">SUM(E109:E111)</f>
        <v>12</v>
      </c>
      <c r="I48" s="92" t="n">
        <f aca="false">SUM(E112:E114)</f>
        <v>13</v>
      </c>
      <c r="J48" s="92" t="n">
        <f aca="false">SUM(E115:E117)</f>
        <v>8</v>
      </c>
      <c r="K48" s="92" t="n">
        <f aca="false">SUM(E118:E120)</f>
        <v>4</v>
      </c>
      <c r="L48" s="92" t="n">
        <f aca="false">SUM(E121:E123)</f>
        <v>9</v>
      </c>
      <c r="M48" s="92" t="n">
        <f aca="false">SUM(E124:E126)</f>
        <v>26</v>
      </c>
      <c r="N48" s="92" t="n">
        <f aca="false">SUM(E127:E129)</f>
        <v>9</v>
      </c>
      <c r="O48" s="93" t="n">
        <f aca="false">SUM(C48:N48)</f>
        <v>189</v>
      </c>
    </row>
    <row r="49" customFormat="false" ht="15" hidden="false" customHeight="false" outlineLevel="0" collapsed="false">
      <c r="B49" s="91" t="str">
        <f aca="false">'Programme de vols'!$W$7</f>
        <v>juillet 2027</v>
      </c>
      <c r="C49" s="92" t="n">
        <f aca="false">SUM(F94:F96)</f>
        <v>44</v>
      </c>
      <c r="D49" s="92" t="n">
        <f aca="false">SUM(F97:F99)</f>
        <v>13</v>
      </c>
      <c r="E49" s="92" t="n">
        <f aca="false">SUM(F100:F102)</f>
        <v>9</v>
      </c>
      <c r="F49" s="92" t="n">
        <f aca="false">SUM(F103:F105)</f>
        <v>26</v>
      </c>
      <c r="G49" s="92" t="n">
        <f aca="false">SUM(F106:F108)</f>
        <v>17</v>
      </c>
      <c r="H49" s="92" t="n">
        <f aca="false">SUM(F109:F111)</f>
        <v>18</v>
      </c>
      <c r="I49" s="92" t="n">
        <f aca="false">SUM(F112:F114)</f>
        <v>14</v>
      </c>
      <c r="J49" s="92" t="n">
        <f aca="false">SUM(F115:F117)</f>
        <v>9</v>
      </c>
      <c r="K49" s="92" t="n">
        <f aca="false">SUM(F118:F120)</f>
        <v>5</v>
      </c>
      <c r="L49" s="92" t="n">
        <f aca="false">SUM(F121:F123)</f>
        <v>9</v>
      </c>
      <c r="M49" s="92" t="n">
        <f aca="false">SUM(F124:F126)</f>
        <v>27</v>
      </c>
      <c r="N49" s="92" t="n">
        <f aca="false">SUM(F127:F129)</f>
        <v>8</v>
      </c>
      <c r="O49" s="93" t="n">
        <f aca="false">SUM(C49:N49)</f>
        <v>199</v>
      </c>
    </row>
    <row r="50" customFormat="false" ht="15" hidden="false" customHeight="false" outlineLevel="0" collapsed="false">
      <c r="B50" s="91" t="str">
        <f aca="false">'Programme de vols'!$W$8</f>
        <v>aout 2027</v>
      </c>
      <c r="C50" s="92" t="n">
        <f aca="false">SUM(G94:G96)</f>
        <v>62</v>
      </c>
      <c r="D50" s="92" t="n">
        <f aca="false">SUM(G97:G99)</f>
        <v>14</v>
      </c>
      <c r="E50" s="92" t="n">
        <f aca="false">SUM(G100:G102)</f>
        <v>8</v>
      </c>
      <c r="F50" s="92" t="n">
        <f aca="false">SUM(G103:G105)</f>
        <v>26</v>
      </c>
      <c r="G50" s="92" t="n">
        <f aca="false">SUM(G106:G108)</f>
        <v>18</v>
      </c>
      <c r="H50" s="92" t="n">
        <f aca="false">SUM(G109:G111)</f>
        <v>13</v>
      </c>
      <c r="I50" s="92" t="n">
        <f aca="false">SUM(G112:G114)</f>
        <v>13</v>
      </c>
      <c r="J50" s="92" t="n">
        <f aca="false">SUM(G115:G117)</f>
        <v>9</v>
      </c>
      <c r="K50" s="92" t="n">
        <f aca="false">SUM(G118:G120)</f>
        <v>4</v>
      </c>
      <c r="L50" s="92" t="n">
        <f aca="false">SUM(G121:G123)</f>
        <v>9</v>
      </c>
      <c r="M50" s="92" t="n">
        <f aca="false">SUM(G124:G126)</f>
        <v>26</v>
      </c>
      <c r="N50" s="92" t="n">
        <f aca="false">SUM(G127:G129)</f>
        <v>9</v>
      </c>
      <c r="O50" s="93" t="n">
        <f aca="false">SUM(C50:N50)</f>
        <v>211</v>
      </c>
    </row>
    <row r="51" customFormat="false" ht="15" hidden="false" customHeight="false" outlineLevel="0" collapsed="false">
      <c r="B51" s="91" t="str">
        <f aca="false">'Programme de vols'!$W$9</f>
        <v>septembre 2027</v>
      </c>
      <c r="C51" s="92" t="n">
        <f aca="false">SUM(H94:H96)</f>
        <v>42</v>
      </c>
      <c r="D51" s="92" t="n">
        <f aca="false">SUM(H97:H99)</f>
        <v>12</v>
      </c>
      <c r="E51" s="92" t="n">
        <f aca="false">SUM(H100:H102)</f>
        <v>9</v>
      </c>
      <c r="F51" s="92" t="n">
        <f aca="false">SUM(H103:H105)</f>
        <v>27</v>
      </c>
      <c r="G51" s="92" t="n">
        <f aca="false">SUM(H106:H108)</f>
        <v>17</v>
      </c>
      <c r="H51" s="92" t="n">
        <f aca="false">SUM(H109:H111)</f>
        <v>13</v>
      </c>
      <c r="I51" s="92" t="n">
        <f aca="false">SUM(H112:H114)</f>
        <v>13</v>
      </c>
      <c r="J51" s="92" t="n">
        <f aca="false">SUM(H115:H117)</f>
        <v>8</v>
      </c>
      <c r="K51" s="92" t="n">
        <f aca="false">SUM(H118:H120)</f>
        <v>5</v>
      </c>
      <c r="L51" s="92" t="n">
        <f aca="false">SUM(H121:H123)</f>
        <v>8</v>
      </c>
      <c r="M51" s="92" t="n">
        <f aca="false">SUM(H124:H126)</f>
        <v>26</v>
      </c>
      <c r="N51" s="92" t="n">
        <f aca="false">SUM(H127:H129)</f>
        <v>9</v>
      </c>
      <c r="O51" s="93" t="n">
        <f aca="false">SUM(C51:N51)</f>
        <v>189</v>
      </c>
    </row>
    <row r="52" customFormat="false" ht="15" hidden="false" customHeight="false" outlineLevel="0" collapsed="false">
      <c r="B52" s="91" t="str">
        <f aca="false">'Programme de vols'!$W$10</f>
        <v>octobre 2027</v>
      </c>
      <c r="C52" s="92" t="n">
        <f aca="false">SUM(I94:I96)</f>
        <v>44</v>
      </c>
      <c r="D52" s="92" t="n">
        <f aca="false">SUM(I97:I99)</f>
        <v>14</v>
      </c>
      <c r="E52" s="92" t="n">
        <f aca="false">SUM(I100:I102)</f>
        <v>9</v>
      </c>
      <c r="F52" s="92" t="n">
        <f aca="false">SUM(I103:I105)</f>
        <v>25</v>
      </c>
      <c r="G52" s="92" t="n">
        <f aca="false">SUM(I106:I108)</f>
        <v>18</v>
      </c>
      <c r="H52" s="92" t="n">
        <f aca="false">SUM(I109:I111)</f>
        <v>13</v>
      </c>
      <c r="I52" s="92" t="n">
        <f aca="false">SUM(I112:I114)</f>
        <v>13</v>
      </c>
      <c r="J52" s="92" t="n">
        <f aca="false">SUM(I115:I117)</f>
        <v>9</v>
      </c>
      <c r="K52" s="92" t="n">
        <f aca="false">SUM(I118:I120)</f>
        <v>4</v>
      </c>
      <c r="L52" s="92" t="n">
        <f aca="false">SUM(I121:I123)</f>
        <v>9</v>
      </c>
      <c r="M52" s="92" t="n">
        <f aca="false">SUM(I124:I126)</f>
        <v>26</v>
      </c>
      <c r="N52" s="92" t="n">
        <f aca="false">SUM(I127:I129)</f>
        <v>9</v>
      </c>
      <c r="O52" s="93" t="n">
        <f aca="false">SUM(C52:N52)</f>
        <v>193</v>
      </c>
    </row>
    <row r="53" customFormat="false" ht="15" hidden="false" customHeight="false" outlineLevel="0" collapsed="false">
      <c r="B53" s="91" t="str">
        <f aca="false">'Programme de vols'!$W$11</f>
        <v>novembre 2027</v>
      </c>
      <c r="C53" s="92" t="n">
        <f aca="false">SUM(J94:J96)</f>
        <v>44</v>
      </c>
      <c r="D53" s="92" t="n">
        <f aca="false">SUM(J97:J99)</f>
        <v>13</v>
      </c>
      <c r="E53" s="92" t="n">
        <f aca="false">SUM(J100:J102)</f>
        <v>8</v>
      </c>
      <c r="F53" s="92" t="n">
        <f aca="false">SUM(J103:J105)</f>
        <v>26</v>
      </c>
      <c r="G53" s="92" t="n">
        <f aca="false">SUM(J106:J108)</f>
        <v>17</v>
      </c>
      <c r="H53" s="92" t="n">
        <f aca="false">SUM(J109:J111)</f>
        <v>13</v>
      </c>
      <c r="I53" s="92" t="n">
        <f aca="false">SUM(J112:J114)</f>
        <v>13</v>
      </c>
      <c r="J53" s="92" t="n">
        <f aca="false">SUM(J115:J117)</f>
        <v>9</v>
      </c>
      <c r="K53" s="92" t="n">
        <f aca="false">SUM(J118:J120)</f>
        <v>4</v>
      </c>
      <c r="L53" s="92" t="n">
        <f aca="false">SUM(J121:J123)</f>
        <v>9</v>
      </c>
      <c r="M53" s="92" t="n">
        <f aca="false">SUM(J124:J126)</f>
        <v>26</v>
      </c>
      <c r="N53" s="92" t="n">
        <f aca="false">SUM(J127:J129)</f>
        <v>8</v>
      </c>
      <c r="O53" s="93" t="n">
        <f aca="false">SUM(C53:N53)</f>
        <v>190</v>
      </c>
    </row>
    <row r="54" customFormat="false" ht="15" hidden="false" customHeight="false" outlineLevel="0" collapsed="false">
      <c r="B54" s="91" t="str">
        <f aca="false">'Programme de vols'!$W$12</f>
        <v>decembre 2027</v>
      </c>
      <c r="C54" s="92" t="n">
        <f aca="false">SUM(K94:K96)</f>
        <v>44</v>
      </c>
      <c r="D54" s="92" t="n">
        <f aca="false">SUM(K97:K99)</f>
        <v>13</v>
      </c>
      <c r="E54" s="92" t="n">
        <f aca="false">SUM(K100:K102)</f>
        <v>9</v>
      </c>
      <c r="F54" s="92" t="n">
        <f aca="false">SUM(K103:K105)</f>
        <v>28</v>
      </c>
      <c r="G54" s="92" t="n">
        <f aca="false">SUM(K106:K108)</f>
        <v>18</v>
      </c>
      <c r="H54" s="92" t="n">
        <f aca="false">SUM(K109:K111)</f>
        <v>21</v>
      </c>
      <c r="I54" s="92" t="n">
        <f aca="false">SUM(K112:K114)</f>
        <v>13</v>
      </c>
      <c r="J54" s="92" t="n">
        <f aca="false">SUM(K115:K117)</f>
        <v>9</v>
      </c>
      <c r="K54" s="92" t="n">
        <f aca="false">SUM(K118:K120)</f>
        <v>5</v>
      </c>
      <c r="L54" s="92" t="n">
        <f aca="false">SUM(K121:K123)</f>
        <v>8</v>
      </c>
      <c r="M54" s="92" t="n">
        <f aca="false">SUM(K124:K126)</f>
        <v>27</v>
      </c>
      <c r="N54" s="92" t="n">
        <f aca="false">SUM(K127:K129)</f>
        <v>9</v>
      </c>
      <c r="O54" s="93" t="n">
        <f aca="false">SUM(C54:N54)</f>
        <v>204</v>
      </c>
    </row>
    <row r="55" customFormat="false" ht="15" hidden="false" customHeight="false" outlineLevel="0" collapsed="false">
      <c r="B55" s="91" t="str">
        <f aca="false">'Programme de vols'!$W$13</f>
        <v>janvier 2028</v>
      </c>
      <c r="C55" s="92" t="n">
        <f aca="false">SUM(L94:L96)</f>
        <v>45</v>
      </c>
      <c r="D55" s="92" t="n">
        <f aca="false">SUM(L97:L99)</f>
        <v>13</v>
      </c>
      <c r="E55" s="92" t="n">
        <f aca="false">SUM(L100:L102)</f>
        <v>9</v>
      </c>
      <c r="F55" s="92" t="n">
        <f aca="false">SUM(L103:L105)</f>
        <v>25</v>
      </c>
      <c r="G55" s="92" t="n">
        <f aca="false">SUM(L106:L108)</f>
        <v>18</v>
      </c>
      <c r="H55" s="92" t="n">
        <f aca="false">SUM(L109:L111)</f>
        <v>14</v>
      </c>
      <c r="I55" s="92" t="n">
        <f aca="false">SUM(L112:L114)</f>
        <v>13</v>
      </c>
      <c r="J55" s="92" t="n">
        <f aca="false">SUM(L115:L117)</f>
        <v>9</v>
      </c>
      <c r="K55" s="92" t="n">
        <f aca="false">SUM(L118:L120)</f>
        <v>4</v>
      </c>
      <c r="L55" s="92" t="n">
        <f aca="false">SUM(L121:L123)</f>
        <v>9</v>
      </c>
      <c r="M55" s="92" t="n">
        <f aca="false">SUM(L124:L126)</f>
        <v>26</v>
      </c>
      <c r="N55" s="92" t="n">
        <f aca="false">SUM(L127:L129)</f>
        <v>9</v>
      </c>
      <c r="O55" s="93" t="n">
        <f aca="false">SUM(C55:N55)</f>
        <v>194</v>
      </c>
    </row>
    <row r="56" customFormat="false" ht="15" hidden="false" customHeight="false" outlineLevel="0" collapsed="false">
      <c r="B56" s="91" t="str">
        <f aca="false">'Programme de vols'!$W$14</f>
        <v>fevrier 2028</v>
      </c>
      <c r="C56" s="92" t="n">
        <f aca="false">SUM(M94:M96)</f>
        <v>41</v>
      </c>
      <c r="D56" s="92" t="n">
        <f aca="false">SUM(M97:M99)</f>
        <v>13</v>
      </c>
      <c r="E56" s="92" t="n">
        <f aca="false">SUM(M100:M102)</f>
        <v>8</v>
      </c>
      <c r="F56" s="92" t="n">
        <f aca="false">SUM(M103:M105)</f>
        <v>25</v>
      </c>
      <c r="G56" s="92" t="n">
        <f aca="false">SUM(M106:M108)</f>
        <v>16</v>
      </c>
      <c r="H56" s="92" t="n">
        <f aca="false">SUM(M109:M111)</f>
        <v>12</v>
      </c>
      <c r="I56" s="92" t="n">
        <f aca="false">SUM(M112:M114)</f>
        <v>13</v>
      </c>
      <c r="J56" s="92" t="n">
        <f aca="false">SUM(M115:M117)</f>
        <v>8</v>
      </c>
      <c r="K56" s="92" t="n">
        <f aca="false">SUM(M118:M120)</f>
        <v>4</v>
      </c>
      <c r="L56" s="92" t="n">
        <f aca="false">SUM(M121:M123)</f>
        <v>9</v>
      </c>
      <c r="M56" s="92" t="n">
        <f aca="false">SUM(M124:M126)</f>
        <v>25</v>
      </c>
      <c r="N56" s="92" t="n">
        <f aca="false">SUM(M127:M129)</f>
        <v>8</v>
      </c>
      <c r="O56" s="93" t="n">
        <f aca="false">SUM(C56:N56)</f>
        <v>182</v>
      </c>
    </row>
    <row r="57" customFormat="false" ht="15" hidden="false" customHeight="false" outlineLevel="0" collapsed="false">
      <c r="B57" s="91" t="str">
        <f aca="false">'Programme de vols'!$W$15</f>
        <v>mars 2028</v>
      </c>
      <c r="C57" s="92" t="n">
        <f aca="false">SUM(N94:N96)</f>
        <v>44</v>
      </c>
      <c r="D57" s="92" t="n">
        <f aca="false">SUM(N97:N99)</f>
        <v>13</v>
      </c>
      <c r="E57" s="92" t="n">
        <f aca="false">SUM(N100:N102)</f>
        <v>9</v>
      </c>
      <c r="F57" s="92" t="n">
        <f aca="false">SUM(N103:N105)</f>
        <v>28</v>
      </c>
      <c r="G57" s="92" t="n">
        <f aca="false">SUM(N106:N108)</f>
        <v>18</v>
      </c>
      <c r="H57" s="92" t="n">
        <f aca="false">SUM(N109:N111)</f>
        <v>13</v>
      </c>
      <c r="I57" s="92" t="n">
        <f aca="false">SUM(N112:N114)</f>
        <v>13</v>
      </c>
      <c r="J57" s="92" t="n">
        <f aca="false">SUM(N115:N117)</f>
        <v>9</v>
      </c>
      <c r="K57" s="92" t="n">
        <f aca="false">SUM(N118:N120)</f>
        <v>5</v>
      </c>
      <c r="L57" s="92" t="n">
        <f aca="false">SUM(N121:N123)</f>
        <v>8</v>
      </c>
      <c r="M57" s="92" t="n">
        <f aca="false">SUM(N124:N126)</f>
        <v>27</v>
      </c>
      <c r="N57" s="92" t="n">
        <f aca="false">SUM(N127:N129)</f>
        <v>9</v>
      </c>
      <c r="O57" s="93" t="n">
        <f aca="false">SUM(C57:N57)</f>
        <v>196</v>
      </c>
    </row>
    <row r="58" customFormat="false" ht="15" hidden="false" customHeight="false" outlineLevel="0" collapsed="false">
      <c r="B58" s="94" t="s">
        <v>164</v>
      </c>
      <c r="C58" s="95" t="n">
        <f aca="false">SUM(C46:C57)</f>
        <v>542</v>
      </c>
      <c r="D58" s="95" t="n">
        <f aca="false">SUM(D46:D57)</f>
        <v>157</v>
      </c>
      <c r="E58" s="95" t="n">
        <f aca="false">SUM(E46:E57)</f>
        <v>104</v>
      </c>
      <c r="F58" s="95" t="n">
        <f aca="false">SUM(F46:F57)</f>
        <v>314</v>
      </c>
      <c r="G58" s="95" t="n">
        <f aca="false">SUM(G46:G57)</f>
        <v>209</v>
      </c>
      <c r="H58" s="95" t="n">
        <f aca="false">SUM(H46:H57)</f>
        <v>171</v>
      </c>
      <c r="I58" s="95" t="n">
        <f aca="false">SUM(I46:I57)</f>
        <v>157</v>
      </c>
      <c r="J58" s="95" t="n">
        <f aca="false">SUM(J46:J57)</f>
        <v>105</v>
      </c>
      <c r="K58" s="95" t="n">
        <f aca="false">SUM(K46:K57)</f>
        <v>53</v>
      </c>
      <c r="L58" s="95" t="n">
        <f aca="false">SUM(L46:L57)</f>
        <v>104</v>
      </c>
      <c r="M58" s="95" t="n">
        <f aca="false">SUM(M46:M57)</f>
        <v>314</v>
      </c>
      <c r="N58" s="95" t="n">
        <f aca="false">SUM(N46:N57)</f>
        <v>104</v>
      </c>
      <c r="O58" s="95" t="n">
        <f aca="false">SUM(O46:O57)</f>
        <v>2334</v>
      </c>
    </row>
    <row r="61" customFormat="false" ht="15" hidden="false" customHeight="false" outlineLevel="0" collapsed="false">
      <c r="B61" s="13" t="s">
        <v>166</v>
      </c>
      <c r="C61" s="13"/>
      <c r="D61" s="13"/>
      <c r="E61" s="13"/>
      <c r="F61" s="13"/>
      <c r="G61" s="13"/>
      <c r="H61" s="13"/>
      <c r="I61" s="13"/>
      <c r="J61" s="13"/>
      <c r="K61" s="13"/>
    </row>
    <row r="62" customFormat="false" ht="30" hidden="false" customHeight="true" outlineLevel="0" collapsed="false">
      <c r="B62" s="31" t="s">
        <v>162</v>
      </c>
      <c r="C62" s="31" t="s">
        <v>167</v>
      </c>
      <c r="D62" s="31" t="s">
        <v>168</v>
      </c>
      <c r="E62" s="31" t="s">
        <v>169</v>
      </c>
      <c r="F62" s="31" t="s">
        <v>170</v>
      </c>
      <c r="G62" s="31" t="s">
        <v>171</v>
      </c>
      <c r="H62" s="31" t="s">
        <v>172</v>
      </c>
      <c r="I62" s="31" t="s">
        <v>173</v>
      </c>
      <c r="J62" s="31" t="s">
        <v>174</v>
      </c>
      <c r="K62" s="31" t="s">
        <v>158</v>
      </c>
    </row>
    <row r="63" customFormat="false" ht="15" hidden="false" customHeight="false" outlineLevel="0" collapsed="false">
      <c r="B63" s="91" t="str">
        <f aca="false">'Programme de vols'!$W$4</f>
        <v>avril 2027</v>
      </c>
      <c r="C63" s="92" t="n">
        <f aca="false">SUMIF($P$94:$P$129,"77W",$C$94:$C$129)</f>
        <v>34</v>
      </c>
      <c r="D63" s="92" t="n">
        <f aca="false">SUMIF($P$94:$P$129,"778",$C$94:$C$129)</f>
        <v>46</v>
      </c>
      <c r="E63" s="92" t="n">
        <f aca="false">SUMIF($P$94:$P$129,"A320",$C$94:$C$129)</f>
        <v>113</v>
      </c>
      <c r="F63" s="93" t="n">
        <f aca="false">SUM(C63:E63)</f>
        <v>193</v>
      </c>
      <c r="G63" s="92" t="n">
        <f aca="false">C63*$C$6</f>
        <v>14892</v>
      </c>
      <c r="H63" s="92" t="n">
        <f aca="false">D63*$C$7</f>
        <v>12052</v>
      </c>
      <c r="I63" s="92" t="n">
        <f aca="false">E63*$C$8</f>
        <v>19662</v>
      </c>
      <c r="J63" s="93" t="n">
        <f aca="false">SUM(G63:I63)</f>
        <v>46606</v>
      </c>
      <c r="K63" s="92" t="n">
        <f aca="false">IFERROR(J63/F63,"-")</f>
        <v>241.481865284974</v>
      </c>
    </row>
    <row r="64" customFormat="false" ht="15" hidden="false" customHeight="false" outlineLevel="0" collapsed="false">
      <c r="B64" s="91" t="str">
        <f aca="false">'Programme de vols'!$W$5</f>
        <v>mai 2027</v>
      </c>
      <c r="C64" s="92" t="n">
        <f aca="false">SUMIF($P$94:$P$129,"77W",$D$94:$D$129)</f>
        <v>36</v>
      </c>
      <c r="D64" s="92" t="n">
        <f aca="false">SUMIF($P$94:$P$129,"778",$D$94:$D$129)</f>
        <v>43</v>
      </c>
      <c r="E64" s="92" t="n">
        <f aca="false">SUMIF($P$94:$P$129,"A320",$D$94:$D$129)</f>
        <v>115</v>
      </c>
      <c r="F64" s="93" t="n">
        <f aca="false">SUM(C64:E64)</f>
        <v>194</v>
      </c>
      <c r="G64" s="92" t="n">
        <f aca="false">C64*$C$6</f>
        <v>15768</v>
      </c>
      <c r="H64" s="92" t="n">
        <f aca="false">D64*$C$7</f>
        <v>11266</v>
      </c>
      <c r="I64" s="92" t="n">
        <f aca="false">E64*$C$8</f>
        <v>20010</v>
      </c>
      <c r="J64" s="93" t="n">
        <f aca="false">SUM(G64:I64)</f>
        <v>47044</v>
      </c>
      <c r="K64" s="92" t="n">
        <f aca="false">IFERROR(J64/F64,"-")</f>
        <v>242.494845360825</v>
      </c>
    </row>
    <row r="65" customFormat="false" ht="15" hidden="false" customHeight="false" outlineLevel="0" collapsed="false">
      <c r="B65" s="91" t="str">
        <f aca="false">'Programme de vols'!$W$6</f>
        <v>juin 2027</v>
      </c>
      <c r="C65" s="92" t="n">
        <f aca="false">SUMIF($P$94:$P$129,"77W",$E$94:$E$129)</f>
        <v>34</v>
      </c>
      <c r="D65" s="92" t="n">
        <f aca="false">SUMIF($P$94:$P$129,"778",$E$94:$E$129)</f>
        <v>43</v>
      </c>
      <c r="E65" s="92" t="n">
        <f aca="false">SUMIF($P$94:$P$129,"A320",$E$94:$E$129)</f>
        <v>112</v>
      </c>
      <c r="F65" s="93" t="n">
        <f aca="false">SUM(C65:E65)</f>
        <v>189</v>
      </c>
      <c r="G65" s="92" t="n">
        <f aca="false">C65*$C$6</f>
        <v>14892</v>
      </c>
      <c r="H65" s="92" t="n">
        <f aca="false">D65*$C$7</f>
        <v>11266</v>
      </c>
      <c r="I65" s="92" t="n">
        <f aca="false">E65*$C$8</f>
        <v>19488</v>
      </c>
      <c r="J65" s="93" t="n">
        <f aca="false">SUM(G65:I65)</f>
        <v>45646</v>
      </c>
      <c r="K65" s="92" t="n">
        <f aca="false">IFERROR(J65/F65,"-")</f>
        <v>241.513227513228</v>
      </c>
    </row>
    <row r="66" customFormat="false" ht="15" hidden="false" customHeight="false" outlineLevel="0" collapsed="false">
      <c r="B66" s="91" t="str">
        <f aca="false">'Programme de vols'!$W$7</f>
        <v>juillet 2027</v>
      </c>
      <c r="C66" s="92" t="n">
        <f aca="false">SUMIF($P$94:$P$129,"77W",$F$94:$F$129)</f>
        <v>35</v>
      </c>
      <c r="D66" s="92" t="n">
        <f aca="false">SUMIF($P$94:$P$129,"778",$F$94:$F$129)</f>
        <v>45</v>
      </c>
      <c r="E66" s="92" t="n">
        <f aca="false">SUMIF($P$94:$P$129,"A320",$F$94:$F$129)</f>
        <v>119</v>
      </c>
      <c r="F66" s="93" t="n">
        <f aca="false">SUM(C66:E66)</f>
        <v>199</v>
      </c>
      <c r="G66" s="92" t="n">
        <f aca="false">C66*$C$6</f>
        <v>15330</v>
      </c>
      <c r="H66" s="92" t="n">
        <f aca="false">D66*$C$7</f>
        <v>11790</v>
      </c>
      <c r="I66" s="92" t="n">
        <f aca="false">E66*$C$8</f>
        <v>20706</v>
      </c>
      <c r="J66" s="93" t="n">
        <f aca="false">SUM(G66:I66)</f>
        <v>47826</v>
      </c>
      <c r="K66" s="92" t="n">
        <f aca="false">IFERROR(J66/F66,"-")</f>
        <v>240.331658291457</v>
      </c>
    </row>
    <row r="67" customFormat="false" ht="15" hidden="false" customHeight="false" outlineLevel="0" collapsed="false">
      <c r="B67" s="91" t="str">
        <f aca="false">'Programme de vols'!$W$8</f>
        <v>aout 2027</v>
      </c>
      <c r="C67" s="92" t="n">
        <f aca="false">SUMIF($P$94:$P$129,"77W",$G$94:$G$129)</f>
        <v>36</v>
      </c>
      <c r="D67" s="92" t="n">
        <f aca="false">SUMIF($P$94:$P$129,"778",$G$94:$G$129)</f>
        <v>65</v>
      </c>
      <c r="E67" s="92" t="n">
        <f aca="false">SUMIF($P$94:$P$129,"A320",$G$94:$G$129)</f>
        <v>110</v>
      </c>
      <c r="F67" s="93" t="n">
        <f aca="false">SUM(C67:E67)</f>
        <v>211</v>
      </c>
      <c r="G67" s="92" t="n">
        <f aca="false">C67*$C$6</f>
        <v>15768</v>
      </c>
      <c r="H67" s="92" t="n">
        <f aca="false">D67*$C$7</f>
        <v>17030</v>
      </c>
      <c r="I67" s="92" t="n">
        <f aca="false">E67*$C$8</f>
        <v>19140</v>
      </c>
      <c r="J67" s="93" t="n">
        <f aca="false">SUM(G67:I67)</f>
        <v>51938</v>
      </c>
      <c r="K67" s="92" t="n">
        <f aca="false">IFERROR(J67/F67,"-")</f>
        <v>246.151658767773</v>
      </c>
    </row>
    <row r="68" customFormat="false" ht="15" hidden="false" customHeight="false" outlineLevel="0" collapsed="false">
      <c r="B68" s="91" t="str">
        <f aca="false">'Programme de vols'!$W$9</f>
        <v>septembre 2027</v>
      </c>
      <c r="C68" s="92" t="n">
        <f aca="false">SUMIF($P$94:$P$129,"77W",$H$94:$H$129)</f>
        <v>34</v>
      </c>
      <c r="D68" s="92" t="n">
        <f aca="false">SUMIF($P$94:$P$129,"778",$H$94:$H$129)</f>
        <v>43</v>
      </c>
      <c r="E68" s="92" t="n">
        <f aca="false">SUMIF($P$94:$P$129,"A320",$H$94:$H$129)</f>
        <v>112</v>
      </c>
      <c r="F68" s="93" t="n">
        <f aca="false">SUM(C68:E68)</f>
        <v>189</v>
      </c>
      <c r="G68" s="92" t="n">
        <f aca="false">C68*$C$6</f>
        <v>14892</v>
      </c>
      <c r="H68" s="92" t="n">
        <f aca="false">D68*$C$7</f>
        <v>11266</v>
      </c>
      <c r="I68" s="92" t="n">
        <f aca="false">E68*$C$8</f>
        <v>19488</v>
      </c>
      <c r="J68" s="93" t="n">
        <f aca="false">SUM(G68:I68)</f>
        <v>45646</v>
      </c>
      <c r="K68" s="92" t="n">
        <f aca="false">IFERROR(J68/F68,"-")</f>
        <v>241.513227513228</v>
      </c>
    </row>
    <row r="69" customFormat="false" ht="15" hidden="false" customHeight="false" outlineLevel="0" collapsed="false">
      <c r="B69" s="91" t="str">
        <f aca="false">'Programme de vols'!$W$10</f>
        <v>octobre 2027</v>
      </c>
      <c r="C69" s="92" t="n">
        <f aca="false">SUMIF($P$94:$P$129,"77W",$I$94:$I$129)</f>
        <v>36</v>
      </c>
      <c r="D69" s="92" t="n">
        <f aca="false">SUMIF($P$94:$P$129,"778",$I$94:$I$129)</f>
        <v>44</v>
      </c>
      <c r="E69" s="92" t="n">
        <f aca="false">SUMIF($P$94:$P$129,"A320",$I$94:$I$129)</f>
        <v>113</v>
      </c>
      <c r="F69" s="93" t="n">
        <f aca="false">SUM(C69:E69)</f>
        <v>193</v>
      </c>
      <c r="G69" s="92" t="n">
        <f aca="false">C69*$C$6</f>
        <v>15768</v>
      </c>
      <c r="H69" s="92" t="n">
        <f aca="false">D69*$C$7</f>
        <v>11528</v>
      </c>
      <c r="I69" s="92" t="n">
        <f aca="false">E69*$C$8</f>
        <v>19662</v>
      </c>
      <c r="J69" s="93" t="n">
        <f aca="false">SUM(G69:I69)</f>
        <v>46958</v>
      </c>
      <c r="K69" s="92" t="n">
        <f aca="false">IFERROR(J69/F69,"-")</f>
        <v>243.305699481865</v>
      </c>
    </row>
    <row r="70" customFormat="false" ht="15" hidden="false" customHeight="false" outlineLevel="0" collapsed="false">
      <c r="B70" s="91" t="str">
        <f aca="false">'Programme de vols'!$W$11</f>
        <v>novembre 2027</v>
      </c>
      <c r="C70" s="92" t="n">
        <f aca="false">SUMIF($P$94:$P$129,"77W",$J$94:$J$129)</f>
        <v>34</v>
      </c>
      <c r="D70" s="92" t="n">
        <f aca="false">SUMIF($P$94:$P$129,"778",$J$94:$J$129)</f>
        <v>43</v>
      </c>
      <c r="E70" s="92" t="n">
        <f aca="false">SUMIF($P$94:$P$129,"A320",$J$94:$J$129)</f>
        <v>113</v>
      </c>
      <c r="F70" s="93" t="n">
        <f aca="false">SUM(C70:E70)</f>
        <v>190</v>
      </c>
      <c r="G70" s="92" t="n">
        <f aca="false">C70*$C$6</f>
        <v>14892</v>
      </c>
      <c r="H70" s="92" t="n">
        <f aca="false">D70*$C$7</f>
        <v>11266</v>
      </c>
      <c r="I70" s="92" t="n">
        <f aca="false">E70*$C$8</f>
        <v>19662</v>
      </c>
      <c r="J70" s="93" t="n">
        <f aca="false">SUM(G70:I70)</f>
        <v>45820</v>
      </c>
      <c r="K70" s="92" t="n">
        <f aca="false">IFERROR(J70/F70,"-")</f>
        <v>241.157894736842</v>
      </c>
    </row>
    <row r="71" customFormat="false" ht="15" hidden="false" customHeight="false" outlineLevel="0" collapsed="false">
      <c r="B71" s="91" t="str">
        <f aca="false">'Programme de vols'!$W$12</f>
        <v>decembre 2027</v>
      </c>
      <c r="C71" s="92" t="n">
        <f aca="false">SUMIF($P$94:$P$129,"77W",$K$94:$K$129)</f>
        <v>35</v>
      </c>
      <c r="D71" s="92" t="n">
        <f aca="false">SUMIF($P$94:$P$129,"778",$K$94:$K$129)</f>
        <v>46</v>
      </c>
      <c r="E71" s="92" t="n">
        <f aca="false">SUMIF($P$94:$P$129,"A320",$K$94:$K$129)</f>
        <v>123</v>
      </c>
      <c r="F71" s="93" t="n">
        <f aca="false">SUM(C71:E71)</f>
        <v>204</v>
      </c>
      <c r="G71" s="92" t="n">
        <f aca="false">C71*$C$6</f>
        <v>15330</v>
      </c>
      <c r="H71" s="92" t="n">
        <f aca="false">D71*$C$7</f>
        <v>12052</v>
      </c>
      <c r="I71" s="92" t="n">
        <f aca="false">E71*$C$8</f>
        <v>21402</v>
      </c>
      <c r="J71" s="93" t="n">
        <f aca="false">SUM(G71:I71)</f>
        <v>48784</v>
      </c>
      <c r="K71" s="92" t="n">
        <f aca="false">IFERROR(J71/F71,"-")</f>
        <v>239.137254901961</v>
      </c>
    </row>
    <row r="72" customFormat="false" ht="15" hidden="false" customHeight="false" outlineLevel="0" collapsed="false">
      <c r="B72" s="91" t="str">
        <f aca="false">'Programme de vols'!$W$13</f>
        <v>janvier 2028</v>
      </c>
      <c r="C72" s="92" t="n">
        <f aca="false">SUMIF($P$94:$P$129,"77W",$L$94:$L$129)</f>
        <v>36</v>
      </c>
      <c r="D72" s="92" t="n">
        <f aca="false">SUMIF($P$94:$P$129,"778",$L$94:$L$129)</f>
        <v>43</v>
      </c>
      <c r="E72" s="92" t="n">
        <f aca="false">SUMIF($P$94:$P$129,"A320",$L$94:$L$129)</f>
        <v>115</v>
      </c>
      <c r="F72" s="93" t="n">
        <f aca="false">SUM(C72:E72)</f>
        <v>194</v>
      </c>
      <c r="G72" s="92" t="n">
        <f aca="false">C72*$C$6</f>
        <v>15768</v>
      </c>
      <c r="H72" s="92" t="n">
        <f aca="false">D72*$C$7</f>
        <v>11266</v>
      </c>
      <c r="I72" s="92" t="n">
        <f aca="false">E72*$C$8</f>
        <v>20010</v>
      </c>
      <c r="J72" s="93" t="n">
        <f aca="false">SUM(G72:I72)</f>
        <v>47044</v>
      </c>
      <c r="K72" s="92" t="n">
        <f aca="false">IFERROR(J72/F72,"-")</f>
        <v>242.494845360825</v>
      </c>
    </row>
    <row r="73" customFormat="false" ht="15" hidden="false" customHeight="false" outlineLevel="0" collapsed="false">
      <c r="B73" s="91" t="str">
        <f aca="false">'Programme de vols'!$W$14</f>
        <v>fevrier 2028</v>
      </c>
      <c r="C73" s="92" t="n">
        <f aca="false">SUMIF($P$94:$P$129,"77W",$M$94:$M$129)</f>
        <v>33</v>
      </c>
      <c r="D73" s="92" t="n">
        <f aca="false">SUMIF($P$94:$P$129,"778",$M$94:$M$129)</f>
        <v>41</v>
      </c>
      <c r="E73" s="92" t="n">
        <f aca="false">SUMIF($P$94:$P$129,"A320",$M$94:$M$129)</f>
        <v>108</v>
      </c>
      <c r="F73" s="93" t="n">
        <f aca="false">SUM(C73:E73)</f>
        <v>182</v>
      </c>
      <c r="G73" s="92" t="n">
        <f aca="false">C73*$C$6</f>
        <v>14454</v>
      </c>
      <c r="H73" s="92" t="n">
        <f aca="false">D73*$C$7</f>
        <v>10742</v>
      </c>
      <c r="I73" s="92" t="n">
        <f aca="false">E73*$C$8</f>
        <v>18792</v>
      </c>
      <c r="J73" s="93" t="n">
        <f aca="false">SUM(G73:I73)</f>
        <v>43988</v>
      </c>
      <c r="K73" s="92" t="n">
        <f aca="false">IFERROR(J73/F73,"-")</f>
        <v>241.692307692308</v>
      </c>
    </row>
    <row r="74" customFormat="false" ht="15" hidden="false" customHeight="false" outlineLevel="0" collapsed="false">
      <c r="B74" s="91" t="str">
        <f aca="false">'Programme de vols'!$W$15</f>
        <v>mars 2028</v>
      </c>
      <c r="C74" s="92" t="n">
        <f aca="false">SUMIF($P$94:$P$129,"77W",$N$94:$N$129)</f>
        <v>35</v>
      </c>
      <c r="D74" s="92" t="n">
        <f aca="false">SUMIF($P$94:$P$129,"778",$N$94:$N$129)</f>
        <v>46</v>
      </c>
      <c r="E74" s="92" t="n">
        <f aca="false">SUMIF($P$94:$P$129,"A320",$N$94:$N$129)</f>
        <v>115</v>
      </c>
      <c r="F74" s="93" t="n">
        <f aca="false">SUM(C74:E74)</f>
        <v>196</v>
      </c>
      <c r="G74" s="92" t="n">
        <f aca="false">C74*$C$6</f>
        <v>15330</v>
      </c>
      <c r="H74" s="92" t="n">
        <f aca="false">D74*$C$7</f>
        <v>12052</v>
      </c>
      <c r="I74" s="92" t="n">
        <f aca="false">E74*$C$8</f>
        <v>20010</v>
      </c>
      <c r="J74" s="93" t="n">
        <f aca="false">SUM(G74:I74)</f>
        <v>47392</v>
      </c>
      <c r="K74" s="92" t="n">
        <f aca="false">IFERROR(J74/F74,"-")</f>
        <v>241.795918367347</v>
      </c>
    </row>
    <row r="75" customFormat="false" ht="15" hidden="false" customHeight="false" outlineLevel="0" collapsed="false">
      <c r="B75" s="94" t="s">
        <v>164</v>
      </c>
      <c r="C75" s="95" t="n">
        <f aca="false">SUM(C63:C74)</f>
        <v>418</v>
      </c>
      <c r="D75" s="95" t="n">
        <f aca="false">SUM(D63:D74)</f>
        <v>548</v>
      </c>
      <c r="E75" s="95" t="n">
        <f aca="false">SUM(E63:E74)</f>
        <v>1368</v>
      </c>
      <c r="F75" s="95" t="n">
        <f aca="false">SUM(F63:F74)</f>
        <v>2334</v>
      </c>
      <c r="G75" s="95" t="n">
        <f aca="false">SUM(G63:G74)</f>
        <v>183084</v>
      </c>
      <c r="H75" s="95" t="n">
        <f aca="false">SUM(H63:H74)</f>
        <v>143576</v>
      </c>
      <c r="I75" s="95" t="n">
        <f aca="false">SUM(I63:I74)</f>
        <v>238032</v>
      </c>
      <c r="J75" s="95" t="n">
        <f aca="false">SUM(J63:J74)</f>
        <v>564692</v>
      </c>
      <c r="K75" s="95" t="n">
        <f aca="false">IFERROR(J75/F75,"-")</f>
        <v>241.941730934019</v>
      </c>
    </row>
    <row r="77" customFormat="false" ht="15" hidden="false" customHeight="false" outlineLevel="0" collapsed="false">
      <c r="B77" s="96" t="s">
        <v>175</v>
      </c>
      <c r="C77" s="96"/>
      <c r="D77" s="96"/>
      <c r="E77" s="96"/>
      <c r="F77" s="96"/>
      <c r="G77" s="96"/>
      <c r="H77" s="96"/>
      <c r="I77" s="96"/>
      <c r="J77" s="96"/>
      <c r="K77" s="96"/>
      <c r="L77" s="96"/>
    </row>
    <row r="78" customFormat="false" ht="15" hidden="false" customHeight="false" outlineLevel="0" collapsed="false">
      <c r="B78" s="24" t="s">
        <v>162</v>
      </c>
      <c r="C78" s="24" t="s">
        <v>64</v>
      </c>
      <c r="D78" s="24" t="s">
        <v>65</v>
      </c>
      <c r="E78" s="24" t="s">
        <v>66</v>
      </c>
      <c r="F78" s="24" t="s">
        <v>67</v>
      </c>
      <c r="G78" s="24" t="s">
        <v>68</v>
      </c>
      <c r="H78" s="24" t="s">
        <v>69</v>
      </c>
      <c r="I78" s="24" t="s">
        <v>70</v>
      </c>
      <c r="J78" s="24" t="s">
        <v>4</v>
      </c>
      <c r="K78" s="24" t="s">
        <v>176</v>
      </c>
      <c r="L78" s="24" t="s">
        <v>177</v>
      </c>
    </row>
    <row r="79" customFormat="false" ht="15" hidden="false" customHeight="false" outlineLevel="0" collapsed="false">
      <c r="B79" s="10" t="str">
        <f aca="false">'Programme de vols'!$W$4</f>
        <v>avril 2027</v>
      </c>
      <c r="C79" s="97" t="n">
        <f aca="false">IF(MOD(1-WEEKDAY($J79,2),7)&gt;=$L79,0,INT(($L79-1-MOD(1-WEEKDAY($J79,2),7))/7)+1)</f>
        <v>4</v>
      </c>
      <c r="D79" s="97" t="n">
        <f aca="false">IF(MOD(2-WEEKDAY($J79,2),7)&gt;=$L79,0,INT(($L79-1-MOD(2-WEEKDAY($J79,2),7))/7)+1)</f>
        <v>4</v>
      </c>
      <c r="E79" s="97" t="n">
        <f aca="false">IF(MOD(3-WEEKDAY($J79,2),7)&gt;=$L79,0,INT(($L79-1-MOD(3-WEEKDAY($J79,2),7))/7)+1)</f>
        <v>4</v>
      </c>
      <c r="F79" s="97" t="n">
        <f aca="false">IF(MOD(4-WEEKDAY($J79,2),7)&gt;=$L79,0,INT(($L79-1-MOD(4-WEEKDAY($J79,2),7))/7)+1)</f>
        <v>5</v>
      </c>
      <c r="G79" s="97" t="n">
        <f aca="false">IF(MOD(5-WEEKDAY($J79,2),7)&gt;=$L79,0,INT(($L79-1-MOD(5-WEEKDAY($J79,2),7))/7)+1)</f>
        <v>5</v>
      </c>
      <c r="H79" s="97" t="n">
        <f aca="false">IF(MOD(6-WEEKDAY($J79,2),7)&gt;=$L79,0,INT(($L79-1-MOD(6-WEEKDAY($J79,2),7))/7)+1)</f>
        <v>4</v>
      </c>
      <c r="I79" s="97" t="n">
        <f aca="false">IF(MOD(7-WEEKDAY($J79,2),7)&gt;=$L79,0,INT(($L79-1-MOD(7-WEEKDAY($J79,2),7))/7)+1)</f>
        <v>4</v>
      </c>
      <c r="J79" s="11" t="n">
        <f aca="false">'Programme de vols'!$X$4</f>
        <v>46478</v>
      </c>
      <c r="K79" s="11" t="n">
        <f aca="false">EOMONTH($J79,0)</f>
        <v>46507</v>
      </c>
      <c r="L79" s="97" t="n">
        <f aca="false">$K79-$J79+1</f>
        <v>30</v>
      </c>
    </row>
    <row r="80" customFormat="false" ht="15" hidden="false" customHeight="false" outlineLevel="0" collapsed="false">
      <c r="B80" s="10" t="str">
        <f aca="false">'Programme de vols'!$W$5</f>
        <v>mai 2027</v>
      </c>
      <c r="C80" s="97" t="n">
        <f aca="false">IF(MOD(1-WEEKDAY($J80,2),7)&gt;=$L80,0,INT(($L80-1-MOD(1-WEEKDAY($J80,2),7))/7)+1)</f>
        <v>5</v>
      </c>
      <c r="D80" s="97" t="n">
        <f aca="false">IF(MOD(2-WEEKDAY($J80,2),7)&gt;=$L80,0,INT(($L80-1-MOD(2-WEEKDAY($J80,2),7))/7)+1)</f>
        <v>4</v>
      </c>
      <c r="E80" s="97" t="n">
        <f aca="false">IF(MOD(3-WEEKDAY($J80,2),7)&gt;=$L80,0,INT(($L80-1-MOD(3-WEEKDAY($J80,2),7))/7)+1)</f>
        <v>4</v>
      </c>
      <c r="F80" s="97" t="n">
        <f aca="false">IF(MOD(4-WEEKDAY($J80,2),7)&gt;=$L80,0,INT(($L80-1-MOD(4-WEEKDAY($J80,2),7))/7)+1)</f>
        <v>4</v>
      </c>
      <c r="G80" s="97" t="n">
        <f aca="false">IF(MOD(5-WEEKDAY($J80,2),7)&gt;=$L80,0,INT(($L80-1-MOD(5-WEEKDAY($J80,2),7))/7)+1)</f>
        <v>4</v>
      </c>
      <c r="H80" s="97" t="n">
        <f aca="false">IF(MOD(6-WEEKDAY($J80,2),7)&gt;=$L80,0,INT(($L80-1-MOD(6-WEEKDAY($J80,2),7))/7)+1)</f>
        <v>5</v>
      </c>
      <c r="I80" s="97" t="n">
        <f aca="false">IF(MOD(7-WEEKDAY($J80,2),7)&gt;=$L80,0,INT(($L80-1-MOD(7-WEEKDAY($J80,2),7))/7)+1)</f>
        <v>5</v>
      </c>
      <c r="J80" s="11" t="n">
        <f aca="false">'Programme de vols'!$X$5</f>
        <v>46508</v>
      </c>
      <c r="K80" s="11" t="n">
        <f aca="false">EOMONTH($J80,0)</f>
        <v>46538</v>
      </c>
      <c r="L80" s="97" t="n">
        <f aca="false">$K80-$J80+1</f>
        <v>31</v>
      </c>
    </row>
    <row r="81" customFormat="false" ht="15" hidden="false" customHeight="false" outlineLevel="0" collapsed="false">
      <c r="B81" s="10" t="str">
        <f aca="false">'Programme de vols'!$W$6</f>
        <v>juin 2027</v>
      </c>
      <c r="C81" s="97" t="n">
        <f aca="false">IF(MOD(1-WEEKDAY($J81,2),7)&gt;=$L81,0,INT(($L81-1-MOD(1-WEEKDAY($J81,2),7))/7)+1)</f>
        <v>4</v>
      </c>
      <c r="D81" s="97" t="n">
        <f aca="false">IF(MOD(2-WEEKDAY($J81,2),7)&gt;=$L81,0,INT(($L81-1-MOD(2-WEEKDAY($J81,2),7))/7)+1)</f>
        <v>5</v>
      </c>
      <c r="E81" s="97" t="n">
        <f aca="false">IF(MOD(3-WEEKDAY($J81,2),7)&gt;=$L81,0,INT(($L81-1-MOD(3-WEEKDAY($J81,2),7))/7)+1)</f>
        <v>5</v>
      </c>
      <c r="F81" s="97" t="n">
        <f aca="false">IF(MOD(4-WEEKDAY($J81,2),7)&gt;=$L81,0,INT(($L81-1-MOD(4-WEEKDAY($J81,2),7))/7)+1)</f>
        <v>4</v>
      </c>
      <c r="G81" s="97" t="n">
        <f aca="false">IF(MOD(5-WEEKDAY($J81,2),7)&gt;=$L81,0,INT(($L81-1-MOD(5-WEEKDAY($J81,2),7))/7)+1)</f>
        <v>4</v>
      </c>
      <c r="H81" s="97" t="n">
        <f aca="false">IF(MOD(6-WEEKDAY($J81,2),7)&gt;=$L81,0,INT(($L81-1-MOD(6-WEEKDAY($J81,2),7))/7)+1)</f>
        <v>4</v>
      </c>
      <c r="I81" s="97" t="n">
        <f aca="false">IF(MOD(7-WEEKDAY($J81,2),7)&gt;=$L81,0,INT(($L81-1-MOD(7-WEEKDAY($J81,2),7))/7)+1)</f>
        <v>4</v>
      </c>
      <c r="J81" s="11" t="n">
        <f aca="false">'Programme de vols'!$X$6</f>
        <v>46539</v>
      </c>
      <c r="K81" s="11" t="n">
        <f aca="false">EOMONTH($J81,0)</f>
        <v>46568</v>
      </c>
      <c r="L81" s="97" t="n">
        <f aca="false">$K81-$J81+1</f>
        <v>30</v>
      </c>
    </row>
    <row r="82" customFormat="false" ht="15" hidden="false" customHeight="false" outlineLevel="0" collapsed="false">
      <c r="B82" s="10" t="str">
        <f aca="false">'Programme de vols'!$W$7</f>
        <v>juillet 2027</v>
      </c>
      <c r="C82" s="97" t="n">
        <f aca="false">IF(MOD(1-WEEKDAY($J82,2),7)&gt;=$L82,0,INT(($L82-1-MOD(1-WEEKDAY($J82,2),7))/7)+1)</f>
        <v>4</v>
      </c>
      <c r="D82" s="97" t="n">
        <f aca="false">IF(MOD(2-WEEKDAY($J82,2),7)&gt;=$L82,0,INT(($L82-1-MOD(2-WEEKDAY($J82,2),7))/7)+1)</f>
        <v>4</v>
      </c>
      <c r="E82" s="97" t="n">
        <f aca="false">IF(MOD(3-WEEKDAY($J82,2),7)&gt;=$L82,0,INT(($L82-1-MOD(3-WEEKDAY($J82,2),7))/7)+1)</f>
        <v>4</v>
      </c>
      <c r="F82" s="97" t="n">
        <f aca="false">IF(MOD(4-WEEKDAY($J82,2),7)&gt;=$L82,0,INT(($L82-1-MOD(4-WEEKDAY($J82,2),7))/7)+1)</f>
        <v>5</v>
      </c>
      <c r="G82" s="97" t="n">
        <f aca="false">IF(MOD(5-WEEKDAY($J82,2),7)&gt;=$L82,0,INT(($L82-1-MOD(5-WEEKDAY($J82,2),7))/7)+1)</f>
        <v>5</v>
      </c>
      <c r="H82" s="97" t="n">
        <f aca="false">IF(MOD(6-WEEKDAY($J82,2),7)&gt;=$L82,0,INT(($L82-1-MOD(6-WEEKDAY($J82,2),7))/7)+1)</f>
        <v>5</v>
      </c>
      <c r="I82" s="97" t="n">
        <f aca="false">IF(MOD(7-WEEKDAY($J82,2),7)&gt;=$L82,0,INT(($L82-1-MOD(7-WEEKDAY($J82,2),7))/7)+1)</f>
        <v>4</v>
      </c>
      <c r="J82" s="11" t="n">
        <f aca="false">'Programme de vols'!$X$7</f>
        <v>46569</v>
      </c>
      <c r="K82" s="11" t="n">
        <f aca="false">EOMONTH($J82,0)</f>
        <v>46599</v>
      </c>
      <c r="L82" s="97" t="n">
        <f aca="false">$K82-$J82+1</f>
        <v>31</v>
      </c>
    </row>
    <row r="83" customFormat="false" ht="15" hidden="false" customHeight="false" outlineLevel="0" collapsed="false">
      <c r="B83" s="10" t="str">
        <f aca="false">'Programme de vols'!$W$8</f>
        <v>aout 2027</v>
      </c>
      <c r="C83" s="97" t="n">
        <f aca="false">IF(MOD(1-WEEKDAY($J83,2),7)&gt;=$L83,0,INT(($L83-1-MOD(1-WEEKDAY($J83,2),7))/7)+1)</f>
        <v>5</v>
      </c>
      <c r="D83" s="97" t="n">
        <f aca="false">IF(MOD(2-WEEKDAY($J83,2),7)&gt;=$L83,0,INT(($L83-1-MOD(2-WEEKDAY($J83,2),7))/7)+1)</f>
        <v>5</v>
      </c>
      <c r="E83" s="97" t="n">
        <f aca="false">IF(MOD(3-WEEKDAY($J83,2),7)&gt;=$L83,0,INT(($L83-1-MOD(3-WEEKDAY($J83,2),7))/7)+1)</f>
        <v>4</v>
      </c>
      <c r="F83" s="97" t="n">
        <f aca="false">IF(MOD(4-WEEKDAY($J83,2),7)&gt;=$L83,0,INT(($L83-1-MOD(4-WEEKDAY($J83,2),7))/7)+1)</f>
        <v>4</v>
      </c>
      <c r="G83" s="97" t="n">
        <f aca="false">IF(MOD(5-WEEKDAY($J83,2),7)&gt;=$L83,0,INT(($L83-1-MOD(5-WEEKDAY($J83,2),7))/7)+1)</f>
        <v>4</v>
      </c>
      <c r="H83" s="97" t="n">
        <f aca="false">IF(MOD(6-WEEKDAY($J83,2),7)&gt;=$L83,0,INT(($L83-1-MOD(6-WEEKDAY($J83,2),7))/7)+1)</f>
        <v>4</v>
      </c>
      <c r="I83" s="97" t="n">
        <f aca="false">IF(MOD(7-WEEKDAY($J83,2),7)&gt;=$L83,0,INT(($L83-1-MOD(7-WEEKDAY($J83,2),7))/7)+1)</f>
        <v>5</v>
      </c>
      <c r="J83" s="11" t="n">
        <f aca="false">'Programme de vols'!$X$8</f>
        <v>46600</v>
      </c>
      <c r="K83" s="11" t="n">
        <f aca="false">EOMONTH($J83,0)</f>
        <v>46630</v>
      </c>
      <c r="L83" s="97" t="n">
        <f aca="false">$K83-$J83+1</f>
        <v>31</v>
      </c>
    </row>
    <row r="84" customFormat="false" ht="15" hidden="false" customHeight="false" outlineLevel="0" collapsed="false">
      <c r="B84" s="10" t="str">
        <f aca="false">'Programme de vols'!$W$9</f>
        <v>septembre 2027</v>
      </c>
      <c r="C84" s="97" t="n">
        <f aca="false">IF(MOD(1-WEEKDAY($J84,2),7)&gt;=$L84,0,INT(($L84-1-MOD(1-WEEKDAY($J84,2),7))/7)+1)</f>
        <v>4</v>
      </c>
      <c r="D84" s="97" t="n">
        <f aca="false">IF(MOD(2-WEEKDAY($J84,2),7)&gt;=$L84,0,INT(($L84-1-MOD(2-WEEKDAY($J84,2),7))/7)+1)</f>
        <v>4</v>
      </c>
      <c r="E84" s="97" t="n">
        <f aca="false">IF(MOD(3-WEEKDAY($J84,2),7)&gt;=$L84,0,INT(($L84-1-MOD(3-WEEKDAY($J84,2),7))/7)+1)</f>
        <v>5</v>
      </c>
      <c r="F84" s="97" t="n">
        <f aca="false">IF(MOD(4-WEEKDAY($J84,2),7)&gt;=$L84,0,INT(($L84-1-MOD(4-WEEKDAY($J84,2),7))/7)+1)</f>
        <v>5</v>
      </c>
      <c r="G84" s="97" t="n">
        <f aca="false">IF(MOD(5-WEEKDAY($J84,2),7)&gt;=$L84,0,INT(($L84-1-MOD(5-WEEKDAY($J84,2),7))/7)+1)</f>
        <v>4</v>
      </c>
      <c r="H84" s="97" t="n">
        <f aca="false">IF(MOD(6-WEEKDAY($J84,2),7)&gt;=$L84,0,INT(($L84-1-MOD(6-WEEKDAY($J84,2),7))/7)+1)</f>
        <v>4</v>
      </c>
      <c r="I84" s="97" t="n">
        <f aca="false">IF(MOD(7-WEEKDAY($J84,2),7)&gt;=$L84,0,INT(($L84-1-MOD(7-WEEKDAY($J84,2),7))/7)+1)</f>
        <v>4</v>
      </c>
      <c r="J84" s="11" t="n">
        <f aca="false">'Programme de vols'!$X$9</f>
        <v>46631</v>
      </c>
      <c r="K84" s="11" t="n">
        <f aca="false">EOMONTH($J84,0)</f>
        <v>46660</v>
      </c>
      <c r="L84" s="97" t="n">
        <f aca="false">$K84-$J84+1</f>
        <v>30</v>
      </c>
    </row>
    <row r="85" customFormat="false" ht="15" hidden="false" customHeight="false" outlineLevel="0" collapsed="false">
      <c r="B85" s="10" t="str">
        <f aca="false">'Programme de vols'!$W$10</f>
        <v>octobre 2027</v>
      </c>
      <c r="C85" s="97" t="n">
        <f aca="false">IF(MOD(1-WEEKDAY($J85,2),7)&gt;=$L85,0,INT(($L85-1-MOD(1-WEEKDAY($J85,2),7))/7)+1)</f>
        <v>4</v>
      </c>
      <c r="D85" s="97" t="n">
        <f aca="false">IF(MOD(2-WEEKDAY($J85,2),7)&gt;=$L85,0,INT(($L85-1-MOD(2-WEEKDAY($J85,2),7))/7)+1)</f>
        <v>4</v>
      </c>
      <c r="E85" s="97" t="n">
        <f aca="false">IF(MOD(3-WEEKDAY($J85,2),7)&gt;=$L85,0,INT(($L85-1-MOD(3-WEEKDAY($J85,2),7))/7)+1)</f>
        <v>4</v>
      </c>
      <c r="F85" s="97" t="n">
        <f aca="false">IF(MOD(4-WEEKDAY($J85,2),7)&gt;=$L85,0,INT(($L85-1-MOD(4-WEEKDAY($J85,2),7))/7)+1)</f>
        <v>4</v>
      </c>
      <c r="G85" s="97" t="n">
        <f aca="false">IF(MOD(5-WEEKDAY($J85,2),7)&gt;=$L85,0,INT(($L85-1-MOD(5-WEEKDAY($J85,2),7))/7)+1)</f>
        <v>5</v>
      </c>
      <c r="H85" s="97" t="n">
        <f aca="false">IF(MOD(6-WEEKDAY($J85,2),7)&gt;=$L85,0,INT(($L85-1-MOD(6-WEEKDAY($J85,2),7))/7)+1)</f>
        <v>5</v>
      </c>
      <c r="I85" s="97" t="n">
        <f aca="false">IF(MOD(7-WEEKDAY($J85,2),7)&gt;=$L85,0,INT(($L85-1-MOD(7-WEEKDAY($J85,2),7))/7)+1)</f>
        <v>5</v>
      </c>
      <c r="J85" s="11" t="n">
        <f aca="false">'Programme de vols'!$X$10</f>
        <v>46661</v>
      </c>
      <c r="K85" s="11" t="n">
        <f aca="false">EOMONTH($J85,0)</f>
        <v>46691</v>
      </c>
      <c r="L85" s="97" t="n">
        <f aca="false">$K85-$J85+1</f>
        <v>31</v>
      </c>
    </row>
    <row r="86" customFormat="false" ht="15" hidden="false" customHeight="false" outlineLevel="0" collapsed="false">
      <c r="B86" s="10" t="str">
        <f aca="false">'Programme de vols'!$W$11</f>
        <v>novembre 2027</v>
      </c>
      <c r="C86" s="97" t="n">
        <f aca="false">IF(MOD(1-WEEKDAY($J86,2),7)&gt;=$L86,0,INT(($L86-1-MOD(1-WEEKDAY($J86,2),7))/7)+1)</f>
        <v>5</v>
      </c>
      <c r="D86" s="97" t="n">
        <f aca="false">IF(MOD(2-WEEKDAY($J86,2),7)&gt;=$L86,0,INT(($L86-1-MOD(2-WEEKDAY($J86,2),7))/7)+1)</f>
        <v>5</v>
      </c>
      <c r="E86" s="97" t="n">
        <f aca="false">IF(MOD(3-WEEKDAY($J86,2),7)&gt;=$L86,0,INT(($L86-1-MOD(3-WEEKDAY($J86,2),7))/7)+1)</f>
        <v>4</v>
      </c>
      <c r="F86" s="97" t="n">
        <f aca="false">IF(MOD(4-WEEKDAY($J86,2),7)&gt;=$L86,0,INT(($L86-1-MOD(4-WEEKDAY($J86,2),7))/7)+1)</f>
        <v>4</v>
      </c>
      <c r="G86" s="97" t="n">
        <f aca="false">IF(MOD(5-WEEKDAY($J86,2),7)&gt;=$L86,0,INT(($L86-1-MOD(5-WEEKDAY($J86,2),7))/7)+1)</f>
        <v>4</v>
      </c>
      <c r="H86" s="97" t="n">
        <f aca="false">IF(MOD(6-WEEKDAY($J86,2),7)&gt;=$L86,0,INT(($L86-1-MOD(6-WEEKDAY($J86,2),7))/7)+1)</f>
        <v>4</v>
      </c>
      <c r="I86" s="97" t="n">
        <f aca="false">IF(MOD(7-WEEKDAY($J86,2),7)&gt;=$L86,0,INT(($L86-1-MOD(7-WEEKDAY($J86,2),7))/7)+1)</f>
        <v>4</v>
      </c>
      <c r="J86" s="11" t="n">
        <f aca="false">'Programme de vols'!$X$11</f>
        <v>46692</v>
      </c>
      <c r="K86" s="11" t="n">
        <f aca="false">EOMONTH($J86,0)</f>
        <v>46721</v>
      </c>
      <c r="L86" s="97" t="n">
        <f aca="false">$K86-$J86+1</f>
        <v>30</v>
      </c>
    </row>
    <row r="87" customFormat="false" ht="15" hidden="false" customHeight="false" outlineLevel="0" collapsed="false">
      <c r="B87" s="10" t="str">
        <f aca="false">'Programme de vols'!$W$12</f>
        <v>decembre 2027</v>
      </c>
      <c r="C87" s="97" t="n">
        <f aca="false">IF(MOD(1-WEEKDAY($J87,2),7)&gt;=$L87,0,INT(($L87-1-MOD(1-WEEKDAY($J87,2),7))/7)+1)</f>
        <v>4</v>
      </c>
      <c r="D87" s="97" t="n">
        <f aca="false">IF(MOD(2-WEEKDAY($J87,2),7)&gt;=$L87,0,INT(($L87-1-MOD(2-WEEKDAY($J87,2),7))/7)+1)</f>
        <v>4</v>
      </c>
      <c r="E87" s="97" t="n">
        <f aca="false">IF(MOD(3-WEEKDAY($J87,2),7)&gt;=$L87,0,INT(($L87-1-MOD(3-WEEKDAY($J87,2),7))/7)+1)</f>
        <v>5</v>
      </c>
      <c r="F87" s="97" t="n">
        <f aca="false">IF(MOD(4-WEEKDAY($J87,2),7)&gt;=$L87,0,INT(($L87-1-MOD(4-WEEKDAY($J87,2),7))/7)+1)</f>
        <v>5</v>
      </c>
      <c r="G87" s="97" t="n">
        <f aca="false">IF(MOD(5-WEEKDAY($J87,2),7)&gt;=$L87,0,INT(($L87-1-MOD(5-WEEKDAY($J87,2),7))/7)+1)</f>
        <v>5</v>
      </c>
      <c r="H87" s="97" t="n">
        <f aca="false">IF(MOD(6-WEEKDAY($J87,2),7)&gt;=$L87,0,INT(($L87-1-MOD(6-WEEKDAY($J87,2),7))/7)+1)</f>
        <v>4</v>
      </c>
      <c r="I87" s="97" t="n">
        <f aca="false">IF(MOD(7-WEEKDAY($J87,2),7)&gt;=$L87,0,INT(($L87-1-MOD(7-WEEKDAY($J87,2),7))/7)+1)</f>
        <v>4</v>
      </c>
      <c r="J87" s="11" t="n">
        <f aca="false">'Programme de vols'!$X$12</f>
        <v>46722</v>
      </c>
      <c r="K87" s="11" t="n">
        <f aca="false">EOMONTH($J87,0)</f>
        <v>46752</v>
      </c>
      <c r="L87" s="97" t="n">
        <f aca="false">$K87-$J87+1</f>
        <v>31</v>
      </c>
    </row>
    <row r="88" customFormat="false" ht="15" hidden="false" customHeight="false" outlineLevel="0" collapsed="false">
      <c r="B88" s="10" t="str">
        <f aca="false">'Programme de vols'!$W$13</f>
        <v>janvier 2028</v>
      </c>
      <c r="C88" s="97" t="n">
        <f aca="false">IF(MOD(1-WEEKDAY($J88,2),7)&gt;=$L88,0,INT(($L88-1-MOD(1-WEEKDAY($J88,2),7))/7)+1)</f>
        <v>5</v>
      </c>
      <c r="D88" s="97" t="n">
        <f aca="false">IF(MOD(2-WEEKDAY($J88,2),7)&gt;=$L88,0,INT(($L88-1-MOD(2-WEEKDAY($J88,2),7))/7)+1)</f>
        <v>4</v>
      </c>
      <c r="E88" s="97" t="n">
        <f aca="false">IF(MOD(3-WEEKDAY($J88,2),7)&gt;=$L88,0,INT(($L88-1-MOD(3-WEEKDAY($J88,2),7))/7)+1)</f>
        <v>4</v>
      </c>
      <c r="F88" s="97" t="n">
        <f aca="false">IF(MOD(4-WEEKDAY($J88,2),7)&gt;=$L88,0,INT(($L88-1-MOD(4-WEEKDAY($J88,2),7))/7)+1)</f>
        <v>4</v>
      </c>
      <c r="G88" s="97" t="n">
        <f aca="false">IF(MOD(5-WEEKDAY($J88,2),7)&gt;=$L88,0,INT(($L88-1-MOD(5-WEEKDAY($J88,2),7))/7)+1)</f>
        <v>4</v>
      </c>
      <c r="H88" s="97" t="n">
        <f aca="false">IF(MOD(6-WEEKDAY($J88,2),7)&gt;=$L88,0,INT(($L88-1-MOD(6-WEEKDAY($J88,2),7))/7)+1)</f>
        <v>5</v>
      </c>
      <c r="I88" s="97" t="n">
        <f aca="false">IF(MOD(7-WEEKDAY($J88,2),7)&gt;=$L88,0,INT(($L88-1-MOD(7-WEEKDAY($J88,2),7))/7)+1)</f>
        <v>5</v>
      </c>
      <c r="J88" s="11" t="n">
        <f aca="false">'Programme de vols'!$X$13</f>
        <v>46753</v>
      </c>
      <c r="K88" s="11" t="n">
        <f aca="false">EOMONTH($J88,0)</f>
        <v>46783</v>
      </c>
      <c r="L88" s="97" t="n">
        <f aca="false">$K88-$J88+1</f>
        <v>31</v>
      </c>
    </row>
    <row r="89" customFormat="false" ht="15" hidden="false" customHeight="false" outlineLevel="0" collapsed="false">
      <c r="B89" s="10" t="str">
        <f aca="false">'Programme de vols'!$W$14</f>
        <v>fevrier 2028</v>
      </c>
      <c r="C89" s="97" t="n">
        <f aca="false">IF(MOD(1-WEEKDAY($J89,2),7)&gt;=$L89,0,INT(($L89-1-MOD(1-WEEKDAY($J89,2),7))/7)+1)</f>
        <v>4</v>
      </c>
      <c r="D89" s="97" t="n">
        <f aca="false">IF(MOD(2-WEEKDAY($J89,2),7)&gt;=$L89,0,INT(($L89-1-MOD(2-WEEKDAY($J89,2),7))/7)+1)</f>
        <v>5</v>
      </c>
      <c r="E89" s="97" t="n">
        <f aca="false">IF(MOD(3-WEEKDAY($J89,2),7)&gt;=$L89,0,INT(($L89-1-MOD(3-WEEKDAY($J89,2),7))/7)+1)</f>
        <v>4</v>
      </c>
      <c r="F89" s="97" t="n">
        <f aca="false">IF(MOD(4-WEEKDAY($J89,2),7)&gt;=$L89,0,INT(($L89-1-MOD(4-WEEKDAY($J89,2),7))/7)+1)</f>
        <v>4</v>
      </c>
      <c r="G89" s="97" t="n">
        <f aca="false">IF(MOD(5-WEEKDAY($J89,2),7)&gt;=$L89,0,INT(($L89-1-MOD(5-WEEKDAY($J89,2),7))/7)+1)</f>
        <v>4</v>
      </c>
      <c r="H89" s="97" t="n">
        <f aca="false">IF(MOD(6-WEEKDAY($J89,2),7)&gt;=$L89,0,INT(($L89-1-MOD(6-WEEKDAY($J89,2),7))/7)+1)</f>
        <v>4</v>
      </c>
      <c r="I89" s="97" t="n">
        <f aca="false">IF(MOD(7-WEEKDAY($J89,2),7)&gt;=$L89,0,INT(($L89-1-MOD(7-WEEKDAY($J89,2),7))/7)+1)</f>
        <v>4</v>
      </c>
      <c r="J89" s="11" t="n">
        <f aca="false">'Programme de vols'!$X$14</f>
        <v>46784</v>
      </c>
      <c r="K89" s="11" t="n">
        <f aca="false">EOMONTH($J89,0)</f>
        <v>46812</v>
      </c>
      <c r="L89" s="97" t="n">
        <f aca="false">$K89-$J89+1</f>
        <v>29</v>
      </c>
    </row>
    <row r="90" customFormat="false" ht="15" hidden="false" customHeight="false" outlineLevel="0" collapsed="false">
      <c r="B90" s="10" t="str">
        <f aca="false">'Programme de vols'!$W$15</f>
        <v>mars 2028</v>
      </c>
      <c r="C90" s="97" t="n">
        <f aca="false">IF(MOD(1-WEEKDAY($J90,2),7)&gt;=$L90,0,INT(($L90-1-MOD(1-WEEKDAY($J90,2),7))/7)+1)</f>
        <v>4</v>
      </c>
      <c r="D90" s="97" t="n">
        <f aca="false">IF(MOD(2-WEEKDAY($J90,2),7)&gt;=$L90,0,INT(($L90-1-MOD(2-WEEKDAY($J90,2),7))/7)+1)</f>
        <v>4</v>
      </c>
      <c r="E90" s="97" t="n">
        <f aca="false">IF(MOD(3-WEEKDAY($J90,2),7)&gt;=$L90,0,INT(($L90-1-MOD(3-WEEKDAY($J90,2),7))/7)+1)</f>
        <v>5</v>
      </c>
      <c r="F90" s="97" t="n">
        <f aca="false">IF(MOD(4-WEEKDAY($J90,2),7)&gt;=$L90,0,INT(($L90-1-MOD(4-WEEKDAY($J90,2),7))/7)+1)</f>
        <v>5</v>
      </c>
      <c r="G90" s="97" t="n">
        <f aca="false">IF(MOD(5-WEEKDAY($J90,2),7)&gt;=$L90,0,INT(($L90-1-MOD(5-WEEKDAY($J90,2),7))/7)+1)</f>
        <v>5</v>
      </c>
      <c r="H90" s="97" t="n">
        <f aca="false">IF(MOD(6-WEEKDAY($J90,2),7)&gt;=$L90,0,INT(($L90-1-MOD(6-WEEKDAY($J90,2),7))/7)+1)</f>
        <v>4</v>
      </c>
      <c r="I90" s="97" t="n">
        <f aca="false">IF(MOD(7-WEEKDAY($J90,2),7)&gt;=$L90,0,INT(($L90-1-MOD(7-WEEKDAY($J90,2),7))/7)+1)</f>
        <v>4</v>
      </c>
      <c r="J90" s="11" t="n">
        <f aca="false">'Programme de vols'!$X$15</f>
        <v>46813</v>
      </c>
      <c r="K90" s="11" t="n">
        <f aca="false">EOMONTH($J90,0)</f>
        <v>46843</v>
      </c>
      <c r="L90" s="97" t="n">
        <f aca="false">$K90-$J90+1</f>
        <v>31</v>
      </c>
    </row>
    <row r="92" customFormat="false" ht="15" hidden="false" customHeight="false" outlineLevel="0" collapsed="false">
      <c r="B92" s="96" t="s">
        <v>178</v>
      </c>
      <c r="C92" s="96"/>
      <c r="D92" s="96"/>
      <c r="E92" s="96"/>
      <c r="F92" s="96"/>
      <c r="G92" s="96"/>
      <c r="H92" s="96"/>
      <c r="I92" s="96"/>
      <c r="J92" s="96"/>
      <c r="K92" s="96"/>
      <c r="L92" s="96"/>
      <c r="M92" s="96"/>
      <c r="N92" s="96"/>
    </row>
    <row r="93" customFormat="false" ht="15" hidden="false" customHeight="false" outlineLevel="0" collapsed="false">
      <c r="B93" s="24" t="s">
        <v>81</v>
      </c>
      <c r="C93" s="98" t="str">
        <f aca="false">'Programme de vols'!$W$4</f>
        <v>avril 2027</v>
      </c>
      <c r="D93" s="98" t="str">
        <f aca="false">'Programme de vols'!$W$5</f>
        <v>mai 2027</v>
      </c>
      <c r="E93" s="98" t="str">
        <f aca="false">'Programme de vols'!$W$6</f>
        <v>juin 2027</v>
      </c>
      <c r="F93" s="98" t="str">
        <f aca="false">'Programme de vols'!$W$7</f>
        <v>juillet 2027</v>
      </c>
      <c r="G93" s="98" t="str">
        <f aca="false">'Programme de vols'!$W$8</f>
        <v>aout 2027</v>
      </c>
      <c r="H93" s="98" t="str">
        <f aca="false">'Programme de vols'!$W$9</f>
        <v>septembre 2027</v>
      </c>
      <c r="I93" s="98" t="str">
        <f aca="false">'Programme de vols'!$W$10</f>
        <v>octobre 2027</v>
      </c>
      <c r="J93" s="98" t="str">
        <f aca="false">'Programme de vols'!$W$11</f>
        <v>novembre 2027</v>
      </c>
      <c r="K93" s="98" t="str">
        <f aca="false">'Programme de vols'!$W$12</f>
        <v>decembre 2027</v>
      </c>
      <c r="L93" s="98" t="str">
        <f aca="false">'Programme de vols'!$W$13</f>
        <v>janvier 2028</v>
      </c>
      <c r="M93" s="98" t="str">
        <f aca="false">'Programme de vols'!$W$14</f>
        <v>fevrier 2028</v>
      </c>
      <c r="N93" s="98" t="str">
        <f aca="false">'Programme de vols'!$W$15</f>
        <v>mars 2028</v>
      </c>
      <c r="O93" s="24" t="s">
        <v>82</v>
      </c>
      <c r="P93" s="24" t="s">
        <v>179</v>
      </c>
    </row>
    <row r="94" customFormat="false" ht="15" hidden="false" customHeight="false" outlineLevel="0" collapsed="false">
      <c r="B94" s="10" t="s">
        <v>91</v>
      </c>
      <c r="C94" s="97" t="n">
        <f aca="false">SUMPRODUCT($C$79:$I$79,--(INDEX('Programme de vols'!$D$49:$J$513,1,0)&lt;&gt;""))+SUMIFS('Programme de vols'!$E$521:$E$560,'Programme de vols'!$C$521:$C$560,"CDGRUN",'Programme de vols'!$D$521:$D$560,"77W",'Programme de vols'!$B$521:$B$560,"&gt;="&amp;$J$79,'Programme de vols'!$B$521:$B$560,"&lt;="&amp;$K$79)</f>
        <v>30</v>
      </c>
      <c r="D94" s="97" t="n">
        <f aca="false">SUMPRODUCT($C$80:$I$80,--(INDEX('Programme de vols'!$D$49:$J$513,40,0)&lt;&gt;""))+SUMIFS('Programme de vols'!$E$521:$E$560,'Programme de vols'!$C$521:$C$560,"CDGRUN",'Programme de vols'!$D$521:$D$560,"77W",'Programme de vols'!$B$521:$B$560,"&gt;="&amp;$J$80,'Programme de vols'!$B$521:$B$560,"&lt;="&amp;$K$80)</f>
        <v>31</v>
      </c>
      <c r="E94" s="97" t="n">
        <f aca="false">SUMPRODUCT($C$81:$I$81,--(INDEX('Programme de vols'!$D$49:$J$513,79,0)&lt;&gt;""))+SUMIFS('Programme de vols'!$E$521:$E$560,'Programme de vols'!$C$521:$C$560,"CDGRUN",'Programme de vols'!$D$521:$D$560,"77W",'Programme de vols'!$B$521:$B$560,"&gt;="&amp;$J$81,'Programme de vols'!$B$521:$B$560,"&lt;="&amp;$K$81)</f>
        <v>30</v>
      </c>
      <c r="F94" s="97" t="n">
        <f aca="false">SUMPRODUCT($C$82:$I$82,--(INDEX('Programme de vols'!$D$49:$J$513,118,0)&lt;&gt;""))+SUMIFS('Programme de vols'!$E$521:$E$560,'Programme de vols'!$C$521:$C$560,"CDGRUN",'Programme de vols'!$D$521:$D$560,"77W",'Programme de vols'!$B$521:$B$560,"&gt;="&amp;$J$82,'Programme de vols'!$B$521:$B$560,"&lt;="&amp;$K$82)</f>
        <v>31</v>
      </c>
      <c r="G94" s="97" t="n">
        <f aca="false">SUMPRODUCT($C$83:$I$83,--(INDEX('Programme de vols'!$D$49:$J$513,157,0)&lt;&gt;""))+SUMIFS('Programme de vols'!$E$521:$E$560,'Programme de vols'!$C$521:$C$560,"CDGRUN",'Programme de vols'!$D$521:$D$560,"77W",'Programme de vols'!$B$521:$B$560,"&gt;="&amp;$J$83,'Programme de vols'!$B$521:$B$560,"&lt;="&amp;$K$83)</f>
        <v>31</v>
      </c>
      <c r="H94" s="97" t="n">
        <f aca="false">SUMPRODUCT($C$84:$I$84,--(INDEX('Programme de vols'!$D$49:$J$513,196,0)&lt;&gt;""))+SUMIFS('Programme de vols'!$E$521:$E$560,'Programme de vols'!$C$521:$C$560,"CDGRUN",'Programme de vols'!$D$521:$D$560,"77W",'Programme de vols'!$B$521:$B$560,"&gt;="&amp;$J$84,'Programme de vols'!$B$521:$B$560,"&lt;="&amp;$K$84)</f>
        <v>30</v>
      </c>
      <c r="I94" s="97" t="n">
        <f aca="false">SUMPRODUCT($C$85:$I$85,--(INDEX('Programme de vols'!$D$49:$J$513,235,0)&lt;&gt;""))+SUMIFS('Programme de vols'!$E$521:$E$560,'Programme de vols'!$C$521:$C$560,"CDGRUN",'Programme de vols'!$D$521:$D$560,"77W",'Programme de vols'!$B$521:$B$560,"&gt;="&amp;$J$85,'Programme de vols'!$B$521:$B$560,"&lt;="&amp;$K$85)</f>
        <v>31</v>
      </c>
      <c r="J94" s="97" t="n">
        <f aca="false">SUMPRODUCT($C$86:$I$86,--(INDEX('Programme de vols'!$D$49:$J$513,274,0)&lt;&gt;""))+SUMIFS('Programme de vols'!$E$521:$E$560,'Programme de vols'!$C$521:$C$560,"CDGRUN",'Programme de vols'!$D$521:$D$560,"77W",'Programme de vols'!$B$521:$B$560,"&gt;="&amp;$J$86,'Programme de vols'!$B$521:$B$560,"&lt;="&amp;$K$86)</f>
        <v>30</v>
      </c>
      <c r="K94" s="97" t="n">
        <f aca="false">SUMPRODUCT($C$87:$I$87,--(INDEX('Programme de vols'!$D$49:$J$513,313,0)&lt;&gt;""))+SUMIFS('Programme de vols'!$E$521:$E$560,'Programme de vols'!$C$521:$C$560,"CDGRUN",'Programme de vols'!$D$521:$D$560,"77W",'Programme de vols'!$B$521:$B$560,"&gt;="&amp;$J$87,'Programme de vols'!$B$521:$B$560,"&lt;="&amp;$K$87)</f>
        <v>31</v>
      </c>
      <c r="L94" s="97" t="n">
        <f aca="false">SUMPRODUCT($C$88:$I$88,--(INDEX('Programme de vols'!$D$49:$J$513,352,0)&lt;&gt;""))+SUMIFS('Programme de vols'!$E$521:$E$560,'Programme de vols'!$C$521:$C$560,"CDGRUN",'Programme de vols'!$D$521:$D$560,"77W",'Programme de vols'!$B$521:$B$560,"&gt;="&amp;$J$88,'Programme de vols'!$B$521:$B$560,"&lt;="&amp;$K$88)</f>
        <v>31</v>
      </c>
      <c r="M94" s="97" t="n">
        <f aca="false">SUMPRODUCT($C$89:$I$89,--(INDEX('Programme de vols'!$D$49:$J$513,391,0)&lt;&gt;""))+SUMIFS('Programme de vols'!$E$521:$E$560,'Programme de vols'!$C$521:$C$560,"CDGRUN",'Programme de vols'!$D$521:$D$560,"77W",'Programme de vols'!$B$521:$B$560,"&gt;="&amp;$J$89,'Programme de vols'!$B$521:$B$560,"&lt;="&amp;$K$89)</f>
        <v>29</v>
      </c>
      <c r="N94" s="97" t="n">
        <f aca="false">SUMPRODUCT($C$90:$I$90,--(INDEX('Programme de vols'!$D$49:$J$513,430,0)&lt;&gt;""))+SUMIFS('Programme de vols'!$E$521:$E$560,'Programme de vols'!$C$521:$C$560,"CDGRUN",'Programme de vols'!$D$521:$D$560,"77W",'Programme de vols'!$B$521:$B$560,"&gt;="&amp;$J$90,'Programme de vols'!$B$521:$B$560,"&lt;="&amp;$K$90)</f>
        <v>31</v>
      </c>
      <c r="O94" s="12" t="s">
        <v>12</v>
      </c>
      <c r="P94" s="12" t="s">
        <v>11</v>
      </c>
    </row>
    <row r="95" customFormat="false" ht="15" hidden="false" customHeight="false" outlineLevel="0" collapsed="false">
      <c r="B95" s="10" t="s">
        <v>92</v>
      </c>
      <c r="C95" s="97" t="n">
        <f aca="false">SUMPRODUCT($C$79:$I$79,--(INDEX('Programme de vols'!$D$49:$J$513,2,0)&lt;&gt;""))+SUMIFS('Programme de vols'!$E$521:$E$560,'Programme de vols'!$C$521:$C$560,"CDGRUN",'Programme de vols'!$D$521:$D$560,"778",'Programme de vols'!$B$521:$B$560,"&gt;="&amp;$J$79,'Programme de vols'!$B$521:$B$560,"&lt;="&amp;$K$79)</f>
        <v>11</v>
      </c>
      <c r="D95" s="97" t="n">
        <f aca="false">SUMPRODUCT($C$80:$I$80,--(INDEX('Programme de vols'!$D$49:$J$513,41,0)&lt;&gt;""))+SUMIFS('Programme de vols'!$E$521:$E$560,'Programme de vols'!$C$521:$C$560,"CDGRUN",'Programme de vols'!$D$521:$D$560,"778",'Programme de vols'!$B$521:$B$560,"&gt;="&amp;$J$80,'Programme de vols'!$B$521:$B$560,"&lt;="&amp;$K$80)</f>
        <v>9</v>
      </c>
      <c r="E95" s="97" t="n">
        <f aca="false">SUMPRODUCT($C$81:$I$81,--(INDEX('Programme de vols'!$D$49:$J$513,80,0)&lt;&gt;""))+SUMIFS('Programme de vols'!$E$521:$E$560,'Programme de vols'!$C$521:$C$560,"CDGRUN",'Programme de vols'!$D$521:$D$560,"778",'Programme de vols'!$B$521:$B$560,"&gt;="&amp;$J$81,'Programme de vols'!$B$521:$B$560,"&lt;="&amp;$K$81)</f>
        <v>8</v>
      </c>
      <c r="F95" s="97" t="n">
        <f aca="false">SUMPRODUCT($C$82:$I$82,--(INDEX('Programme de vols'!$D$49:$J$513,119,0)&lt;&gt;""))+SUMIFS('Programme de vols'!$E$521:$E$560,'Programme de vols'!$C$521:$C$560,"CDGRUN",'Programme de vols'!$D$521:$D$560,"778",'Programme de vols'!$B$521:$B$560,"&gt;="&amp;$J$82,'Programme de vols'!$B$521:$B$560,"&lt;="&amp;$K$82)</f>
        <v>9</v>
      </c>
      <c r="G95" s="97" t="n">
        <f aca="false">SUMPRODUCT($C$83:$I$83,--(INDEX('Programme de vols'!$D$49:$J$513,158,0)&lt;&gt;""))+SUMIFS('Programme de vols'!$E$521:$E$560,'Programme de vols'!$C$521:$C$560,"CDGRUN",'Programme de vols'!$D$521:$D$560,"778",'Programme de vols'!$B$521:$B$560,"&gt;="&amp;$J$83,'Programme de vols'!$B$521:$B$560,"&lt;="&amp;$K$83)</f>
        <v>31</v>
      </c>
      <c r="H95" s="97" t="n">
        <f aca="false">SUMPRODUCT($C$84:$I$84,--(INDEX('Programme de vols'!$D$49:$J$513,197,0)&lt;&gt;""))+SUMIFS('Programme de vols'!$E$521:$E$560,'Programme de vols'!$C$521:$C$560,"CDGRUN",'Programme de vols'!$D$521:$D$560,"778",'Programme de vols'!$B$521:$B$560,"&gt;="&amp;$J$84,'Programme de vols'!$B$521:$B$560,"&lt;="&amp;$K$84)</f>
        <v>8</v>
      </c>
      <c r="I95" s="97" t="n">
        <f aca="false">SUMPRODUCT($C$85:$I$85,--(INDEX('Programme de vols'!$D$49:$J$513,236,0)&lt;&gt;""))+SUMIFS('Programme de vols'!$E$521:$E$560,'Programme de vols'!$C$521:$C$560,"CDGRUN",'Programme de vols'!$D$521:$D$560,"778",'Programme de vols'!$B$521:$B$560,"&gt;="&amp;$J$85,'Programme de vols'!$B$521:$B$560,"&lt;="&amp;$K$85)</f>
        <v>9</v>
      </c>
      <c r="J95" s="97" t="n">
        <f aca="false">SUMPRODUCT($C$86:$I$86,--(INDEX('Programme de vols'!$D$49:$J$513,275,0)&lt;&gt;""))+SUMIFS('Programme de vols'!$E$521:$E$560,'Programme de vols'!$C$521:$C$560,"CDGRUN",'Programme de vols'!$D$521:$D$560,"778",'Programme de vols'!$B$521:$B$560,"&gt;="&amp;$J$86,'Programme de vols'!$B$521:$B$560,"&lt;="&amp;$K$86)</f>
        <v>9</v>
      </c>
      <c r="K95" s="97" t="n">
        <f aca="false">SUMPRODUCT($C$87:$I$87,--(INDEX('Programme de vols'!$D$49:$J$513,314,0)&lt;&gt;""))+SUMIFS('Programme de vols'!$E$521:$E$560,'Programme de vols'!$C$521:$C$560,"CDGRUN",'Programme de vols'!$D$521:$D$560,"778",'Programme de vols'!$B$521:$B$560,"&gt;="&amp;$J$87,'Programme de vols'!$B$521:$B$560,"&lt;="&amp;$K$87)</f>
        <v>9</v>
      </c>
      <c r="L95" s="97" t="n">
        <f aca="false">SUMPRODUCT($C$88:$I$88,--(INDEX('Programme de vols'!$D$49:$J$513,353,0)&lt;&gt;""))+SUMIFS('Programme de vols'!$E$521:$E$560,'Programme de vols'!$C$521:$C$560,"CDGRUN",'Programme de vols'!$D$521:$D$560,"778",'Programme de vols'!$B$521:$B$560,"&gt;="&amp;$J$88,'Programme de vols'!$B$521:$B$560,"&lt;="&amp;$K$88)</f>
        <v>9</v>
      </c>
      <c r="M95" s="97" t="n">
        <f aca="false">SUMPRODUCT($C$89:$I$89,--(INDEX('Programme de vols'!$D$49:$J$513,392,0)&lt;&gt;""))+SUMIFS('Programme de vols'!$E$521:$E$560,'Programme de vols'!$C$521:$C$560,"CDGRUN",'Programme de vols'!$D$521:$D$560,"778",'Programme de vols'!$B$521:$B$560,"&gt;="&amp;$J$89,'Programme de vols'!$B$521:$B$560,"&lt;="&amp;$K$89)</f>
        <v>8</v>
      </c>
      <c r="N95" s="97" t="n">
        <f aca="false">SUMPRODUCT($C$90:$I$90,--(INDEX('Programme de vols'!$D$49:$J$513,431,0)&lt;&gt;""))+SUMIFS('Programme de vols'!$E$521:$E$560,'Programme de vols'!$C$521:$C$560,"CDGRUN",'Programme de vols'!$D$521:$D$560,"778",'Programme de vols'!$B$521:$B$560,"&gt;="&amp;$J$90,'Programme de vols'!$B$521:$B$560,"&lt;="&amp;$K$90)</f>
        <v>9</v>
      </c>
      <c r="O95" s="12" t="s">
        <v>12</v>
      </c>
      <c r="P95" s="12" t="s">
        <v>18</v>
      </c>
    </row>
    <row r="96" customFormat="false" ht="15" hidden="false" customHeight="false" outlineLevel="0" collapsed="false">
      <c r="B96" s="10" t="s">
        <v>93</v>
      </c>
      <c r="C96" s="97" t="n">
        <f aca="false">SUMPRODUCT($C$79:$I$79,--(INDEX('Programme de vols'!$D$49:$J$513,3,0)&lt;&gt;""))+SUMIFS('Programme de vols'!$E$521:$E$560,'Programme de vols'!$C$521:$C$560,"CDGRUN",'Programme de vols'!$D$521:$D$560,"A320",'Programme de vols'!$B$521:$B$560,"&gt;="&amp;$J$79,'Programme de vols'!$B$521:$B$560,"&lt;="&amp;$K$79)</f>
        <v>4</v>
      </c>
      <c r="D96" s="97" t="n">
        <f aca="false">SUMPRODUCT($C$80:$I$80,--(INDEX('Programme de vols'!$D$49:$J$513,42,0)&lt;&gt;""))+SUMIFS('Programme de vols'!$E$521:$E$560,'Programme de vols'!$C$521:$C$560,"CDGRUN",'Programme de vols'!$D$521:$D$560,"A320",'Programme de vols'!$B$521:$B$560,"&gt;="&amp;$J$80,'Programme de vols'!$B$521:$B$560,"&lt;="&amp;$K$80)</f>
        <v>5</v>
      </c>
      <c r="E96" s="97" t="n">
        <f aca="false">SUMPRODUCT($C$81:$I$81,--(INDEX('Programme de vols'!$D$49:$J$513,81,0)&lt;&gt;""))+SUMIFS('Programme de vols'!$E$521:$E$560,'Programme de vols'!$C$521:$C$560,"CDGRUN",'Programme de vols'!$D$521:$D$560,"A320",'Programme de vols'!$B$521:$B$560,"&gt;="&amp;$J$81,'Programme de vols'!$B$521:$B$560,"&lt;="&amp;$K$81)</f>
        <v>4</v>
      </c>
      <c r="F96" s="97" t="n">
        <f aca="false">SUMPRODUCT($C$82:$I$82,--(INDEX('Programme de vols'!$D$49:$J$513,120,0)&lt;&gt;""))+SUMIFS('Programme de vols'!$E$521:$E$560,'Programme de vols'!$C$521:$C$560,"CDGRUN",'Programme de vols'!$D$521:$D$560,"A320",'Programme de vols'!$B$521:$B$560,"&gt;="&amp;$J$82,'Programme de vols'!$B$521:$B$560,"&lt;="&amp;$K$82)</f>
        <v>4</v>
      </c>
      <c r="G96" s="97" t="n">
        <f aca="false">SUMPRODUCT($C$83:$I$83,--(INDEX('Programme de vols'!$D$49:$J$513,159,0)&lt;&gt;""))+SUMIFS('Programme de vols'!$E$521:$E$560,'Programme de vols'!$C$521:$C$560,"CDGRUN",'Programme de vols'!$D$521:$D$560,"A320",'Programme de vols'!$B$521:$B$560,"&gt;="&amp;$J$83,'Programme de vols'!$B$521:$B$560,"&lt;="&amp;$K$83)</f>
        <v>0</v>
      </c>
      <c r="H96" s="97" t="n">
        <f aca="false">SUMPRODUCT($C$84:$I$84,--(INDEX('Programme de vols'!$D$49:$J$513,198,0)&lt;&gt;""))+SUMIFS('Programme de vols'!$E$521:$E$560,'Programme de vols'!$C$521:$C$560,"CDGRUN",'Programme de vols'!$D$521:$D$560,"A320",'Programme de vols'!$B$521:$B$560,"&gt;="&amp;$J$84,'Programme de vols'!$B$521:$B$560,"&lt;="&amp;$K$84)</f>
        <v>4</v>
      </c>
      <c r="I96" s="97" t="n">
        <f aca="false">SUMPRODUCT($C$85:$I$85,--(INDEX('Programme de vols'!$D$49:$J$513,237,0)&lt;&gt;""))+SUMIFS('Programme de vols'!$E$521:$E$560,'Programme de vols'!$C$521:$C$560,"CDGRUN",'Programme de vols'!$D$521:$D$560,"A320",'Programme de vols'!$B$521:$B$560,"&gt;="&amp;$J$85,'Programme de vols'!$B$521:$B$560,"&lt;="&amp;$K$85)</f>
        <v>4</v>
      </c>
      <c r="J96" s="97" t="n">
        <f aca="false">SUMPRODUCT($C$86:$I$86,--(INDEX('Programme de vols'!$D$49:$J$513,276,0)&lt;&gt;""))+SUMIFS('Programme de vols'!$E$521:$E$560,'Programme de vols'!$C$521:$C$560,"CDGRUN",'Programme de vols'!$D$521:$D$560,"A320",'Programme de vols'!$B$521:$B$560,"&gt;="&amp;$J$86,'Programme de vols'!$B$521:$B$560,"&lt;="&amp;$K$86)</f>
        <v>5</v>
      </c>
      <c r="K96" s="97" t="n">
        <f aca="false">SUMPRODUCT($C$87:$I$87,--(INDEX('Programme de vols'!$D$49:$J$513,315,0)&lt;&gt;""))+SUMIFS('Programme de vols'!$E$521:$E$560,'Programme de vols'!$C$521:$C$560,"CDGRUN",'Programme de vols'!$D$521:$D$560,"A320",'Programme de vols'!$B$521:$B$560,"&gt;="&amp;$J$87,'Programme de vols'!$B$521:$B$560,"&lt;="&amp;$K$87)</f>
        <v>4</v>
      </c>
      <c r="L96" s="97" t="n">
        <f aca="false">SUMPRODUCT($C$88:$I$88,--(INDEX('Programme de vols'!$D$49:$J$513,354,0)&lt;&gt;""))+SUMIFS('Programme de vols'!$E$521:$E$560,'Programme de vols'!$C$521:$C$560,"CDGRUN",'Programme de vols'!$D$521:$D$560,"A320",'Programme de vols'!$B$521:$B$560,"&gt;="&amp;$J$88,'Programme de vols'!$B$521:$B$560,"&lt;="&amp;$K$88)</f>
        <v>5</v>
      </c>
      <c r="M96" s="97" t="n">
        <f aca="false">SUMPRODUCT($C$89:$I$89,--(INDEX('Programme de vols'!$D$49:$J$513,393,0)&lt;&gt;""))+SUMIFS('Programme de vols'!$E$521:$E$560,'Programme de vols'!$C$521:$C$560,"CDGRUN",'Programme de vols'!$D$521:$D$560,"A320",'Programme de vols'!$B$521:$B$560,"&gt;="&amp;$J$89,'Programme de vols'!$B$521:$B$560,"&lt;="&amp;$K$89)</f>
        <v>4</v>
      </c>
      <c r="N96" s="97" t="n">
        <f aca="false">SUMPRODUCT($C$90:$I$90,--(INDEX('Programme de vols'!$D$49:$J$513,432,0)&lt;&gt;""))+SUMIFS('Programme de vols'!$E$521:$E$560,'Programme de vols'!$C$521:$C$560,"CDGRUN",'Programme de vols'!$D$521:$D$560,"A320",'Programme de vols'!$B$521:$B$560,"&gt;="&amp;$J$90,'Programme de vols'!$B$521:$B$560,"&lt;="&amp;$K$90)</f>
        <v>4</v>
      </c>
      <c r="O96" s="12" t="s">
        <v>12</v>
      </c>
      <c r="P96" s="12" t="s">
        <v>23</v>
      </c>
    </row>
    <row r="97" customFormat="false" ht="15" hidden="false" customHeight="false" outlineLevel="0" collapsed="false">
      <c r="B97" s="10" t="s">
        <v>94</v>
      </c>
      <c r="C97" s="97" t="n">
        <f aca="false">SUMPRODUCT($C$79:$I$79,--(INDEX('Programme de vols'!$D$49:$J$513,4,0)&lt;&gt;""))+SUMIFS('Programme de vols'!$E$521:$E$560,'Programme de vols'!$C$521:$C$560,"CDGDZA",'Programme de vols'!$D$521:$D$560,"77W",'Programme de vols'!$B$521:$B$560,"&gt;="&amp;$J$79,'Programme de vols'!$B$521:$B$560,"&lt;="&amp;$K$79)</f>
        <v>4</v>
      </c>
      <c r="D97" s="97" t="n">
        <f aca="false">SUMPRODUCT($C$80:$I$80,--(INDEX('Programme de vols'!$D$49:$J$513,43,0)&lt;&gt;""))+SUMIFS('Programme de vols'!$E$521:$E$560,'Programme de vols'!$C$521:$C$560,"CDGDZA",'Programme de vols'!$D$521:$D$560,"77W",'Programme de vols'!$B$521:$B$560,"&gt;="&amp;$J$80,'Programme de vols'!$B$521:$B$560,"&lt;="&amp;$K$80)</f>
        <v>5</v>
      </c>
      <c r="E97" s="97" t="n">
        <f aca="false">SUMPRODUCT($C$81:$I$81,--(INDEX('Programme de vols'!$D$49:$J$513,82,0)&lt;&gt;""))+SUMIFS('Programme de vols'!$E$521:$E$560,'Programme de vols'!$C$521:$C$560,"CDGDZA",'Programme de vols'!$D$521:$D$560,"77W",'Programme de vols'!$B$521:$B$560,"&gt;="&amp;$J$81,'Programme de vols'!$B$521:$B$560,"&lt;="&amp;$K$81)</f>
        <v>4</v>
      </c>
      <c r="F97" s="97" t="n">
        <f aca="false">SUMPRODUCT($C$82:$I$82,--(INDEX('Programme de vols'!$D$49:$J$513,121,0)&lt;&gt;""))+SUMIFS('Programme de vols'!$E$521:$E$560,'Programme de vols'!$C$521:$C$560,"CDGDZA",'Programme de vols'!$D$521:$D$560,"77W",'Programme de vols'!$B$521:$B$560,"&gt;="&amp;$J$82,'Programme de vols'!$B$521:$B$560,"&lt;="&amp;$K$82)</f>
        <v>4</v>
      </c>
      <c r="G97" s="97" t="n">
        <f aca="false">SUMPRODUCT($C$83:$I$83,--(INDEX('Programme de vols'!$D$49:$J$513,160,0)&lt;&gt;""))+SUMIFS('Programme de vols'!$E$521:$E$560,'Programme de vols'!$C$521:$C$560,"CDGDZA",'Programme de vols'!$D$521:$D$560,"77W",'Programme de vols'!$B$521:$B$560,"&gt;="&amp;$J$83,'Programme de vols'!$B$521:$B$560,"&lt;="&amp;$K$83)</f>
        <v>5</v>
      </c>
      <c r="H97" s="97" t="n">
        <f aca="false">SUMPRODUCT($C$84:$I$84,--(INDEX('Programme de vols'!$D$49:$J$513,199,0)&lt;&gt;""))+SUMIFS('Programme de vols'!$E$521:$E$560,'Programme de vols'!$C$521:$C$560,"CDGDZA",'Programme de vols'!$D$521:$D$560,"77W",'Programme de vols'!$B$521:$B$560,"&gt;="&amp;$J$84,'Programme de vols'!$B$521:$B$560,"&lt;="&amp;$K$84)</f>
        <v>4</v>
      </c>
      <c r="I97" s="97" t="n">
        <f aca="false">SUMPRODUCT($C$85:$I$85,--(INDEX('Programme de vols'!$D$49:$J$513,238,0)&lt;&gt;""))+SUMIFS('Programme de vols'!$E$521:$E$560,'Programme de vols'!$C$521:$C$560,"CDGDZA",'Programme de vols'!$D$521:$D$560,"77W",'Programme de vols'!$B$521:$B$560,"&gt;="&amp;$J$85,'Programme de vols'!$B$521:$B$560,"&lt;="&amp;$K$85)</f>
        <v>5</v>
      </c>
      <c r="J97" s="97" t="n">
        <f aca="false">SUMPRODUCT($C$86:$I$86,--(INDEX('Programme de vols'!$D$49:$J$513,277,0)&lt;&gt;""))+SUMIFS('Programme de vols'!$E$521:$E$560,'Programme de vols'!$C$521:$C$560,"CDGDZA",'Programme de vols'!$D$521:$D$560,"77W",'Programme de vols'!$B$521:$B$560,"&gt;="&amp;$J$86,'Programme de vols'!$B$521:$B$560,"&lt;="&amp;$K$86)</f>
        <v>4</v>
      </c>
      <c r="K97" s="97" t="n">
        <f aca="false">SUMPRODUCT($C$87:$I$87,--(INDEX('Programme de vols'!$D$49:$J$513,316,0)&lt;&gt;""))+SUMIFS('Programme de vols'!$E$521:$E$560,'Programme de vols'!$C$521:$C$560,"CDGDZA",'Programme de vols'!$D$521:$D$560,"77W",'Programme de vols'!$B$521:$B$560,"&gt;="&amp;$J$87,'Programme de vols'!$B$521:$B$560,"&lt;="&amp;$K$87)</f>
        <v>4</v>
      </c>
      <c r="L97" s="97" t="n">
        <f aca="false">SUMPRODUCT($C$88:$I$88,--(INDEX('Programme de vols'!$D$49:$J$513,355,0)&lt;&gt;""))+SUMIFS('Programme de vols'!$E$521:$E$560,'Programme de vols'!$C$521:$C$560,"CDGDZA",'Programme de vols'!$D$521:$D$560,"77W",'Programme de vols'!$B$521:$B$560,"&gt;="&amp;$J$88,'Programme de vols'!$B$521:$B$560,"&lt;="&amp;$K$88)</f>
        <v>5</v>
      </c>
      <c r="M97" s="97" t="n">
        <f aca="false">SUMPRODUCT($C$89:$I$89,--(INDEX('Programme de vols'!$D$49:$J$513,394,0)&lt;&gt;""))+SUMIFS('Programme de vols'!$E$521:$E$560,'Programme de vols'!$C$521:$C$560,"CDGDZA",'Programme de vols'!$D$521:$D$560,"77W",'Programme de vols'!$B$521:$B$560,"&gt;="&amp;$J$89,'Programme de vols'!$B$521:$B$560,"&lt;="&amp;$K$89)</f>
        <v>4</v>
      </c>
      <c r="N97" s="97" t="n">
        <f aca="false">SUMPRODUCT($C$90:$I$90,--(INDEX('Programme de vols'!$D$49:$J$513,433,0)&lt;&gt;""))+SUMIFS('Programme de vols'!$E$521:$E$560,'Programme de vols'!$C$521:$C$560,"CDGDZA",'Programme de vols'!$D$521:$D$560,"77W",'Programme de vols'!$B$521:$B$560,"&gt;="&amp;$J$90,'Programme de vols'!$B$521:$B$560,"&lt;="&amp;$K$90)</f>
        <v>4</v>
      </c>
      <c r="O97" s="12" t="s">
        <v>19</v>
      </c>
      <c r="P97" s="12" t="s">
        <v>11</v>
      </c>
    </row>
    <row r="98" customFormat="false" ht="15" hidden="false" customHeight="false" outlineLevel="0" collapsed="false">
      <c r="B98" s="10" t="s">
        <v>95</v>
      </c>
      <c r="C98" s="97" t="n">
        <f aca="false">SUMPRODUCT($C$79:$I$79,--(INDEX('Programme de vols'!$D$49:$J$513,5,0)&lt;&gt;""))+SUMIFS('Programme de vols'!$E$521:$E$560,'Programme de vols'!$C$521:$C$560,"CDGDZA",'Programme de vols'!$D$521:$D$560,"778",'Programme de vols'!$B$521:$B$560,"&gt;="&amp;$J$79,'Programme de vols'!$B$521:$B$560,"&lt;="&amp;$K$79)</f>
        <v>9</v>
      </c>
      <c r="D98" s="97" t="n">
        <f aca="false">SUMPRODUCT($C$80:$I$80,--(INDEX('Programme de vols'!$D$49:$J$513,44,0)&lt;&gt;""))+SUMIFS('Programme de vols'!$E$521:$E$560,'Programme de vols'!$C$521:$C$560,"CDGDZA",'Programme de vols'!$D$521:$D$560,"778",'Programme de vols'!$B$521:$B$560,"&gt;="&amp;$J$80,'Programme de vols'!$B$521:$B$560,"&lt;="&amp;$K$80)</f>
        <v>8</v>
      </c>
      <c r="E98" s="97" t="n">
        <f aca="false">SUMPRODUCT($C$81:$I$81,--(INDEX('Programme de vols'!$D$49:$J$513,83,0)&lt;&gt;""))+SUMIFS('Programme de vols'!$E$521:$E$560,'Programme de vols'!$C$521:$C$560,"CDGDZA",'Programme de vols'!$D$521:$D$560,"778",'Programme de vols'!$B$521:$B$560,"&gt;="&amp;$J$81,'Programme de vols'!$B$521:$B$560,"&lt;="&amp;$K$81)</f>
        <v>9</v>
      </c>
      <c r="F98" s="97" t="n">
        <f aca="false">SUMPRODUCT($C$82:$I$82,--(INDEX('Programme de vols'!$D$49:$J$513,122,0)&lt;&gt;""))+SUMIFS('Programme de vols'!$E$521:$E$560,'Programme de vols'!$C$521:$C$560,"CDGDZA",'Programme de vols'!$D$521:$D$560,"778",'Programme de vols'!$B$521:$B$560,"&gt;="&amp;$J$82,'Programme de vols'!$B$521:$B$560,"&lt;="&amp;$K$82)</f>
        <v>9</v>
      </c>
      <c r="G98" s="97" t="n">
        <f aca="false">SUMPRODUCT($C$83:$I$83,--(INDEX('Programme de vols'!$D$49:$J$513,161,0)&lt;&gt;""))+SUMIFS('Programme de vols'!$E$521:$E$560,'Programme de vols'!$C$521:$C$560,"CDGDZA",'Programme de vols'!$D$521:$D$560,"778",'Programme de vols'!$B$521:$B$560,"&gt;="&amp;$J$83,'Programme de vols'!$B$521:$B$560,"&lt;="&amp;$K$83)</f>
        <v>9</v>
      </c>
      <c r="H98" s="97" t="n">
        <f aca="false">SUMPRODUCT($C$84:$I$84,--(INDEX('Programme de vols'!$D$49:$J$513,200,0)&lt;&gt;""))+SUMIFS('Programme de vols'!$E$521:$E$560,'Programme de vols'!$C$521:$C$560,"CDGDZA",'Programme de vols'!$D$521:$D$560,"778",'Programme de vols'!$B$521:$B$560,"&gt;="&amp;$J$84,'Programme de vols'!$B$521:$B$560,"&lt;="&amp;$K$84)</f>
        <v>8</v>
      </c>
      <c r="I98" s="97" t="n">
        <f aca="false">SUMPRODUCT($C$85:$I$85,--(INDEX('Programme de vols'!$D$49:$J$513,239,0)&lt;&gt;""))+SUMIFS('Programme de vols'!$E$521:$E$560,'Programme de vols'!$C$521:$C$560,"CDGDZA",'Programme de vols'!$D$521:$D$560,"778",'Programme de vols'!$B$521:$B$560,"&gt;="&amp;$J$85,'Programme de vols'!$B$521:$B$560,"&lt;="&amp;$K$85)</f>
        <v>9</v>
      </c>
      <c r="J98" s="97" t="n">
        <f aca="false">SUMPRODUCT($C$86:$I$86,--(INDEX('Programme de vols'!$D$49:$J$513,278,0)&lt;&gt;""))+SUMIFS('Programme de vols'!$E$521:$E$560,'Programme de vols'!$C$521:$C$560,"CDGDZA",'Programme de vols'!$D$521:$D$560,"778",'Programme de vols'!$B$521:$B$560,"&gt;="&amp;$J$86,'Programme de vols'!$B$521:$B$560,"&lt;="&amp;$K$86)</f>
        <v>9</v>
      </c>
      <c r="K98" s="97" t="n">
        <f aca="false">SUMPRODUCT($C$87:$I$87,--(INDEX('Programme de vols'!$D$49:$J$513,317,0)&lt;&gt;""))+SUMIFS('Programme de vols'!$E$521:$E$560,'Programme de vols'!$C$521:$C$560,"CDGDZA",'Programme de vols'!$D$521:$D$560,"778",'Programme de vols'!$B$521:$B$560,"&gt;="&amp;$J$87,'Programme de vols'!$B$521:$B$560,"&lt;="&amp;$K$87)</f>
        <v>9</v>
      </c>
      <c r="L98" s="97" t="n">
        <f aca="false">SUMPRODUCT($C$88:$I$88,--(INDEX('Programme de vols'!$D$49:$J$513,356,0)&lt;&gt;""))+SUMIFS('Programme de vols'!$E$521:$E$560,'Programme de vols'!$C$521:$C$560,"CDGDZA",'Programme de vols'!$D$521:$D$560,"778",'Programme de vols'!$B$521:$B$560,"&gt;="&amp;$J$88,'Programme de vols'!$B$521:$B$560,"&lt;="&amp;$K$88)</f>
        <v>8</v>
      </c>
      <c r="M98" s="97" t="n">
        <f aca="false">SUMPRODUCT($C$89:$I$89,--(INDEX('Programme de vols'!$D$49:$J$513,395,0)&lt;&gt;""))+SUMIFS('Programme de vols'!$E$521:$E$560,'Programme de vols'!$C$521:$C$560,"CDGDZA",'Programme de vols'!$D$521:$D$560,"778",'Programme de vols'!$B$521:$B$560,"&gt;="&amp;$J$89,'Programme de vols'!$B$521:$B$560,"&lt;="&amp;$K$89)</f>
        <v>9</v>
      </c>
      <c r="N98" s="97" t="n">
        <f aca="false">SUMPRODUCT($C$90:$I$90,--(INDEX('Programme de vols'!$D$49:$J$513,434,0)&lt;&gt;""))+SUMIFS('Programme de vols'!$E$521:$E$560,'Programme de vols'!$C$521:$C$560,"CDGDZA",'Programme de vols'!$D$521:$D$560,"778",'Programme de vols'!$B$521:$B$560,"&gt;="&amp;$J$90,'Programme de vols'!$B$521:$B$560,"&lt;="&amp;$K$90)</f>
        <v>9</v>
      </c>
      <c r="O98" s="12" t="s">
        <v>19</v>
      </c>
      <c r="P98" s="12" t="s">
        <v>18</v>
      </c>
    </row>
    <row r="99" customFormat="false" ht="15" hidden="false" customHeight="false" outlineLevel="0" collapsed="false">
      <c r="B99" s="10" t="s">
        <v>96</v>
      </c>
      <c r="C99" s="97" t="n">
        <f aca="false">SUMPRODUCT($C$79:$I$79,--(INDEX('Programme de vols'!$D$49:$J$513,6,0)&lt;&gt;""))+SUMIFS('Programme de vols'!$E$521:$E$560,'Programme de vols'!$C$521:$C$560,"CDGDZA",'Programme de vols'!$D$521:$D$560,"A320",'Programme de vols'!$B$521:$B$560,"&gt;="&amp;$J$79,'Programme de vols'!$B$521:$B$560,"&lt;="&amp;$K$79)</f>
        <v>0</v>
      </c>
      <c r="D99" s="97" t="n">
        <f aca="false">SUMPRODUCT($C$80:$I$80,--(INDEX('Programme de vols'!$D$49:$J$513,45,0)&lt;&gt;""))+SUMIFS('Programme de vols'!$E$521:$E$560,'Programme de vols'!$C$521:$C$560,"CDGDZA",'Programme de vols'!$D$521:$D$560,"A320",'Programme de vols'!$B$521:$B$560,"&gt;="&amp;$J$80,'Programme de vols'!$B$521:$B$560,"&lt;="&amp;$K$80)</f>
        <v>0</v>
      </c>
      <c r="E99" s="97" t="n">
        <f aca="false">SUMPRODUCT($C$81:$I$81,--(INDEX('Programme de vols'!$D$49:$J$513,84,0)&lt;&gt;""))+SUMIFS('Programme de vols'!$E$521:$E$560,'Programme de vols'!$C$521:$C$560,"CDGDZA",'Programme de vols'!$D$521:$D$560,"A320",'Programme de vols'!$B$521:$B$560,"&gt;="&amp;$J$81,'Programme de vols'!$B$521:$B$560,"&lt;="&amp;$K$81)</f>
        <v>0</v>
      </c>
      <c r="F99" s="97" t="n">
        <f aca="false">SUMPRODUCT($C$82:$I$82,--(INDEX('Programme de vols'!$D$49:$J$513,123,0)&lt;&gt;""))+SUMIFS('Programme de vols'!$E$521:$E$560,'Programme de vols'!$C$521:$C$560,"CDGDZA",'Programme de vols'!$D$521:$D$560,"A320",'Programme de vols'!$B$521:$B$560,"&gt;="&amp;$J$82,'Programme de vols'!$B$521:$B$560,"&lt;="&amp;$K$82)</f>
        <v>0</v>
      </c>
      <c r="G99" s="97" t="n">
        <f aca="false">SUMPRODUCT($C$83:$I$83,--(INDEX('Programme de vols'!$D$49:$J$513,162,0)&lt;&gt;""))+SUMIFS('Programme de vols'!$E$521:$E$560,'Programme de vols'!$C$521:$C$560,"CDGDZA",'Programme de vols'!$D$521:$D$560,"A320",'Programme de vols'!$B$521:$B$560,"&gt;="&amp;$J$83,'Programme de vols'!$B$521:$B$560,"&lt;="&amp;$K$83)</f>
        <v>0</v>
      </c>
      <c r="H99" s="97" t="n">
        <f aca="false">SUMPRODUCT($C$84:$I$84,--(INDEX('Programme de vols'!$D$49:$J$513,201,0)&lt;&gt;""))+SUMIFS('Programme de vols'!$E$521:$E$560,'Programme de vols'!$C$521:$C$560,"CDGDZA",'Programme de vols'!$D$521:$D$560,"A320",'Programme de vols'!$B$521:$B$560,"&gt;="&amp;$J$84,'Programme de vols'!$B$521:$B$560,"&lt;="&amp;$K$84)</f>
        <v>0</v>
      </c>
      <c r="I99" s="97" t="n">
        <f aca="false">SUMPRODUCT($C$85:$I$85,--(INDEX('Programme de vols'!$D$49:$J$513,240,0)&lt;&gt;""))+SUMIFS('Programme de vols'!$E$521:$E$560,'Programme de vols'!$C$521:$C$560,"CDGDZA",'Programme de vols'!$D$521:$D$560,"A320",'Programme de vols'!$B$521:$B$560,"&gt;="&amp;$J$85,'Programme de vols'!$B$521:$B$560,"&lt;="&amp;$K$85)</f>
        <v>0</v>
      </c>
      <c r="J99" s="97" t="n">
        <f aca="false">SUMPRODUCT($C$86:$I$86,--(INDEX('Programme de vols'!$D$49:$J$513,279,0)&lt;&gt;""))+SUMIFS('Programme de vols'!$E$521:$E$560,'Programme de vols'!$C$521:$C$560,"CDGDZA",'Programme de vols'!$D$521:$D$560,"A320",'Programme de vols'!$B$521:$B$560,"&gt;="&amp;$J$86,'Programme de vols'!$B$521:$B$560,"&lt;="&amp;$K$86)</f>
        <v>0</v>
      </c>
      <c r="K99" s="97" t="n">
        <f aca="false">SUMPRODUCT($C$87:$I$87,--(INDEX('Programme de vols'!$D$49:$J$513,318,0)&lt;&gt;""))+SUMIFS('Programme de vols'!$E$521:$E$560,'Programme de vols'!$C$521:$C$560,"CDGDZA",'Programme de vols'!$D$521:$D$560,"A320",'Programme de vols'!$B$521:$B$560,"&gt;="&amp;$J$87,'Programme de vols'!$B$521:$B$560,"&lt;="&amp;$K$87)</f>
        <v>0</v>
      </c>
      <c r="L99" s="97" t="n">
        <f aca="false">SUMPRODUCT($C$88:$I$88,--(INDEX('Programme de vols'!$D$49:$J$513,357,0)&lt;&gt;""))+SUMIFS('Programme de vols'!$E$521:$E$560,'Programme de vols'!$C$521:$C$560,"CDGDZA",'Programme de vols'!$D$521:$D$560,"A320",'Programme de vols'!$B$521:$B$560,"&gt;="&amp;$J$88,'Programme de vols'!$B$521:$B$560,"&lt;="&amp;$K$88)</f>
        <v>0</v>
      </c>
      <c r="M99" s="97" t="n">
        <f aca="false">SUMPRODUCT($C$89:$I$89,--(INDEX('Programme de vols'!$D$49:$J$513,396,0)&lt;&gt;""))+SUMIFS('Programme de vols'!$E$521:$E$560,'Programme de vols'!$C$521:$C$560,"CDGDZA",'Programme de vols'!$D$521:$D$560,"A320",'Programme de vols'!$B$521:$B$560,"&gt;="&amp;$J$89,'Programme de vols'!$B$521:$B$560,"&lt;="&amp;$K$89)</f>
        <v>0</v>
      </c>
      <c r="N99" s="97" t="n">
        <f aca="false">SUMPRODUCT($C$90:$I$90,--(INDEX('Programme de vols'!$D$49:$J$513,435,0)&lt;&gt;""))+SUMIFS('Programme de vols'!$E$521:$E$560,'Programme de vols'!$C$521:$C$560,"CDGDZA",'Programme de vols'!$D$521:$D$560,"A320",'Programme de vols'!$B$521:$B$560,"&gt;="&amp;$J$90,'Programme de vols'!$B$521:$B$560,"&lt;="&amp;$K$90)</f>
        <v>0</v>
      </c>
      <c r="O99" s="12" t="s">
        <v>19</v>
      </c>
      <c r="P99" s="12" t="s">
        <v>23</v>
      </c>
    </row>
    <row r="100" customFormat="false" ht="15" hidden="false" customHeight="false" outlineLevel="0" collapsed="false">
      <c r="B100" s="10" t="s">
        <v>97</v>
      </c>
      <c r="C100" s="97" t="n">
        <f aca="false">SUMPRODUCT($C$79:$I$79,--(INDEX('Programme de vols'!$D$49:$J$513,7,0)&lt;&gt;""))+SUMIFS('Programme de vols'!$E$521:$E$560,'Programme de vols'!$C$521:$C$560,"BKKRUN",'Programme de vols'!$D$521:$D$560,"77W",'Programme de vols'!$B$521:$B$560,"&gt;="&amp;$J$79,'Programme de vols'!$B$521:$B$560,"&lt;="&amp;$K$79)</f>
        <v>0</v>
      </c>
      <c r="D100" s="97" t="n">
        <f aca="false">SUMPRODUCT($C$80:$I$80,--(INDEX('Programme de vols'!$D$49:$J$513,46,0)&lt;&gt;""))+SUMIFS('Programme de vols'!$E$521:$E$560,'Programme de vols'!$C$521:$C$560,"BKKRUN",'Programme de vols'!$D$521:$D$560,"77W",'Programme de vols'!$B$521:$B$560,"&gt;="&amp;$J$80,'Programme de vols'!$B$521:$B$560,"&lt;="&amp;$K$80)</f>
        <v>0</v>
      </c>
      <c r="E100" s="97" t="n">
        <f aca="false">SUMPRODUCT($C$81:$I$81,--(INDEX('Programme de vols'!$D$49:$J$513,85,0)&lt;&gt;""))+SUMIFS('Programme de vols'!$E$521:$E$560,'Programme de vols'!$C$521:$C$560,"BKKRUN",'Programme de vols'!$D$521:$D$560,"77W",'Programme de vols'!$B$521:$B$560,"&gt;="&amp;$J$81,'Programme de vols'!$B$521:$B$560,"&lt;="&amp;$K$81)</f>
        <v>0</v>
      </c>
      <c r="F100" s="97" t="n">
        <f aca="false">SUMPRODUCT($C$82:$I$82,--(INDEX('Programme de vols'!$D$49:$J$513,124,0)&lt;&gt;""))+SUMIFS('Programme de vols'!$E$521:$E$560,'Programme de vols'!$C$521:$C$560,"BKKRUN",'Programme de vols'!$D$521:$D$560,"77W",'Programme de vols'!$B$521:$B$560,"&gt;="&amp;$J$82,'Programme de vols'!$B$521:$B$560,"&lt;="&amp;$K$82)</f>
        <v>0</v>
      </c>
      <c r="G100" s="97" t="n">
        <f aca="false">SUMPRODUCT($C$83:$I$83,--(INDEX('Programme de vols'!$D$49:$J$513,163,0)&lt;&gt;""))+SUMIFS('Programme de vols'!$E$521:$E$560,'Programme de vols'!$C$521:$C$560,"BKKRUN",'Programme de vols'!$D$521:$D$560,"77W",'Programme de vols'!$B$521:$B$560,"&gt;="&amp;$J$83,'Programme de vols'!$B$521:$B$560,"&lt;="&amp;$K$83)</f>
        <v>0</v>
      </c>
      <c r="H100" s="97" t="n">
        <f aca="false">SUMPRODUCT($C$84:$I$84,--(INDEX('Programme de vols'!$D$49:$J$513,202,0)&lt;&gt;""))+SUMIFS('Programme de vols'!$E$521:$E$560,'Programme de vols'!$C$521:$C$560,"BKKRUN",'Programme de vols'!$D$521:$D$560,"77W",'Programme de vols'!$B$521:$B$560,"&gt;="&amp;$J$84,'Programme de vols'!$B$521:$B$560,"&lt;="&amp;$K$84)</f>
        <v>0</v>
      </c>
      <c r="I100" s="97" t="n">
        <f aca="false">SUMPRODUCT($C$85:$I$85,--(INDEX('Programme de vols'!$D$49:$J$513,241,0)&lt;&gt;""))+SUMIFS('Programme de vols'!$E$521:$E$560,'Programme de vols'!$C$521:$C$560,"BKKRUN",'Programme de vols'!$D$521:$D$560,"77W",'Programme de vols'!$B$521:$B$560,"&gt;="&amp;$J$85,'Programme de vols'!$B$521:$B$560,"&lt;="&amp;$K$85)</f>
        <v>0</v>
      </c>
      <c r="J100" s="97" t="n">
        <f aca="false">SUMPRODUCT($C$86:$I$86,--(INDEX('Programme de vols'!$D$49:$J$513,280,0)&lt;&gt;""))+SUMIFS('Programme de vols'!$E$521:$E$560,'Programme de vols'!$C$521:$C$560,"BKKRUN",'Programme de vols'!$D$521:$D$560,"77W",'Programme de vols'!$B$521:$B$560,"&gt;="&amp;$J$86,'Programme de vols'!$B$521:$B$560,"&lt;="&amp;$K$86)</f>
        <v>0</v>
      </c>
      <c r="K100" s="97" t="n">
        <f aca="false">SUMPRODUCT($C$87:$I$87,--(INDEX('Programme de vols'!$D$49:$J$513,319,0)&lt;&gt;""))+SUMIFS('Programme de vols'!$E$521:$E$560,'Programme de vols'!$C$521:$C$560,"BKKRUN",'Programme de vols'!$D$521:$D$560,"77W",'Programme de vols'!$B$521:$B$560,"&gt;="&amp;$J$87,'Programme de vols'!$B$521:$B$560,"&lt;="&amp;$K$87)</f>
        <v>0</v>
      </c>
      <c r="L100" s="97" t="n">
        <f aca="false">SUMPRODUCT($C$88:$I$88,--(INDEX('Programme de vols'!$D$49:$J$513,358,0)&lt;&gt;""))+SUMIFS('Programme de vols'!$E$521:$E$560,'Programme de vols'!$C$521:$C$560,"BKKRUN",'Programme de vols'!$D$521:$D$560,"77W",'Programme de vols'!$B$521:$B$560,"&gt;="&amp;$J$88,'Programme de vols'!$B$521:$B$560,"&lt;="&amp;$K$88)</f>
        <v>0</v>
      </c>
      <c r="M100" s="97" t="n">
        <f aca="false">SUMPRODUCT($C$89:$I$89,--(INDEX('Programme de vols'!$D$49:$J$513,397,0)&lt;&gt;""))+SUMIFS('Programme de vols'!$E$521:$E$560,'Programme de vols'!$C$521:$C$560,"BKKRUN",'Programme de vols'!$D$521:$D$560,"77W",'Programme de vols'!$B$521:$B$560,"&gt;="&amp;$J$89,'Programme de vols'!$B$521:$B$560,"&lt;="&amp;$K$89)</f>
        <v>0</v>
      </c>
      <c r="N100" s="97" t="n">
        <f aca="false">SUMPRODUCT($C$90:$I$90,--(INDEX('Programme de vols'!$D$49:$J$513,436,0)&lt;&gt;""))+SUMIFS('Programme de vols'!$E$521:$E$560,'Programme de vols'!$C$521:$C$560,"BKKRUN",'Programme de vols'!$D$521:$D$560,"77W",'Programme de vols'!$B$521:$B$560,"&gt;="&amp;$J$90,'Programme de vols'!$B$521:$B$560,"&lt;="&amp;$K$90)</f>
        <v>0</v>
      </c>
      <c r="O100" s="12" t="s">
        <v>24</v>
      </c>
      <c r="P100" s="12" t="s">
        <v>11</v>
      </c>
    </row>
    <row r="101" customFormat="false" ht="15" hidden="false" customHeight="false" outlineLevel="0" collapsed="false">
      <c r="B101" s="10" t="s">
        <v>98</v>
      </c>
      <c r="C101" s="97" t="n">
        <f aca="false">SUMPRODUCT($C$79:$I$79,--(INDEX('Programme de vols'!$D$49:$J$513,8,0)&lt;&gt;""))+SUMIFS('Programme de vols'!$E$521:$E$560,'Programme de vols'!$C$521:$C$560,"BKKRUN",'Programme de vols'!$D$521:$D$560,"778",'Programme de vols'!$B$521:$B$560,"&gt;="&amp;$J$79,'Programme de vols'!$B$521:$B$560,"&lt;="&amp;$K$79)</f>
        <v>8</v>
      </c>
      <c r="D101" s="97" t="n">
        <f aca="false">SUMPRODUCT($C$80:$I$80,--(INDEX('Programme de vols'!$D$49:$J$513,47,0)&lt;&gt;""))+SUMIFS('Programme de vols'!$E$521:$E$560,'Programme de vols'!$C$521:$C$560,"BKKRUN",'Programme de vols'!$D$521:$D$560,"778",'Programme de vols'!$B$521:$B$560,"&gt;="&amp;$J$80,'Programme de vols'!$B$521:$B$560,"&lt;="&amp;$K$80)</f>
        <v>9</v>
      </c>
      <c r="E101" s="97" t="n">
        <f aca="false">SUMPRODUCT($C$81:$I$81,--(INDEX('Programme de vols'!$D$49:$J$513,86,0)&lt;&gt;""))+SUMIFS('Programme de vols'!$E$521:$E$560,'Programme de vols'!$C$521:$C$560,"BKKRUN",'Programme de vols'!$D$521:$D$560,"778",'Programme de vols'!$B$521:$B$560,"&gt;="&amp;$J$81,'Programme de vols'!$B$521:$B$560,"&lt;="&amp;$K$81)</f>
        <v>9</v>
      </c>
      <c r="F101" s="97" t="n">
        <f aca="false">SUMPRODUCT($C$82:$I$82,--(INDEX('Programme de vols'!$D$49:$J$513,125,0)&lt;&gt;""))+SUMIFS('Programme de vols'!$E$521:$E$560,'Programme de vols'!$C$521:$C$560,"BKKRUN",'Programme de vols'!$D$521:$D$560,"778",'Programme de vols'!$B$521:$B$560,"&gt;="&amp;$J$82,'Programme de vols'!$B$521:$B$560,"&lt;="&amp;$K$82)</f>
        <v>9</v>
      </c>
      <c r="G101" s="97" t="n">
        <f aca="false">SUMPRODUCT($C$83:$I$83,--(INDEX('Programme de vols'!$D$49:$J$513,164,0)&lt;&gt;""))+SUMIFS('Programme de vols'!$E$521:$E$560,'Programme de vols'!$C$521:$C$560,"BKKRUN",'Programme de vols'!$D$521:$D$560,"778",'Programme de vols'!$B$521:$B$560,"&gt;="&amp;$J$83,'Programme de vols'!$B$521:$B$560,"&lt;="&amp;$K$83)</f>
        <v>8</v>
      </c>
      <c r="H101" s="97" t="n">
        <f aca="false">SUMPRODUCT($C$84:$I$84,--(INDEX('Programme de vols'!$D$49:$J$513,203,0)&lt;&gt;""))+SUMIFS('Programme de vols'!$E$521:$E$560,'Programme de vols'!$C$521:$C$560,"BKKRUN",'Programme de vols'!$D$521:$D$560,"778",'Programme de vols'!$B$521:$B$560,"&gt;="&amp;$J$84,'Programme de vols'!$B$521:$B$560,"&lt;="&amp;$K$84)</f>
        <v>9</v>
      </c>
      <c r="I101" s="97" t="n">
        <f aca="false">SUMPRODUCT($C$85:$I$85,--(INDEX('Programme de vols'!$D$49:$J$513,242,0)&lt;&gt;""))+SUMIFS('Programme de vols'!$E$521:$E$560,'Programme de vols'!$C$521:$C$560,"BKKRUN",'Programme de vols'!$D$521:$D$560,"778",'Programme de vols'!$B$521:$B$560,"&gt;="&amp;$J$85,'Programme de vols'!$B$521:$B$560,"&lt;="&amp;$K$85)</f>
        <v>9</v>
      </c>
      <c r="J101" s="97" t="n">
        <f aca="false">SUMPRODUCT($C$86:$I$86,--(INDEX('Programme de vols'!$D$49:$J$513,281,0)&lt;&gt;""))+SUMIFS('Programme de vols'!$E$521:$E$560,'Programme de vols'!$C$521:$C$560,"BKKRUN",'Programme de vols'!$D$521:$D$560,"778",'Programme de vols'!$B$521:$B$560,"&gt;="&amp;$J$86,'Programme de vols'!$B$521:$B$560,"&lt;="&amp;$K$86)</f>
        <v>8</v>
      </c>
      <c r="K101" s="97" t="n">
        <f aca="false">SUMPRODUCT($C$87:$I$87,--(INDEX('Programme de vols'!$D$49:$J$513,320,0)&lt;&gt;""))+SUMIFS('Programme de vols'!$E$521:$E$560,'Programme de vols'!$C$521:$C$560,"BKKRUN",'Programme de vols'!$D$521:$D$560,"778",'Programme de vols'!$B$521:$B$560,"&gt;="&amp;$J$87,'Programme de vols'!$B$521:$B$560,"&lt;="&amp;$K$87)</f>
        <v>9</v>
      </c>
      <c r="L101" s="97" t="n">
        <f aca="false">SUMPRODUCT($C$88:$I$88,--(INDEX('Programme de vols'!$D$49:$J$513,359,0)&lt;&gt;""))+SUMIFS('Programme de vols'!$E$521:$E$560,'Programme de vols'!$C$521:$C$560,"BKKRUN",'Programme de vols'!$D$521:$D$560,"778",'Programme de vols'!$B$521:$B$560,"&gt;="&amp;$J$88,'Programme de vols'!$B$521:$B$560,"&lt;="&amp;$K$88)</f>
        <v>9</v>
      </c>
      <c r="M101" s="97" t="n">
        <f aca="false">SUMPRODUCT($C$89:$I$89,--(INDEX('Programme de vols'!$D$49:$J$513,398,0)&lt;&gt;""))+SUMIFS('Programme de vols'!$E$521:$E$560,'Programme de vols'!$C$521:$C$560,"BKKRUN",'Programme de vols'!$D$521:$D$560,"778",'Programme de vols'!$B$521:$B$560,"&gt;="&amp;$J$89,'Programme de vols'!$B$521:$B$560,"&lt;="&amp;$K$89)</f>
        <v>8</v>
      </c>
      <c r="N101" s="97" t="n">
        <f aca="false">SUMPRODUCT($C$90:$I$90,--(INDEX('Programme de vols'!$D$49:$J$513,437,0)&lt;&gt;""))+SUMIFS('Programme de vols'!$E$521:$E$560,'Programme de vols'!$C$521:$C$560,"BKKRUN",'Programme de vols'!$D$521:$D$560,"778",'Programme de vols'!$B$521:$B$560,"&gt;="&amp;$J$90,'Programme de vols'!$B$521:$B$560,"&lt;="&amp;$K$90)</f>
        <v>9</v>
      </c>
      <c r="O101" s="12" t="s">
        <v>24</v>
      </c>
      <c r="P101" s="12" t="s">
        <v>18</v>
      </c>
    </row>
    <row r="102" customFormat="false" ht="15" hidden="false" customHeight="false" outlineLevel="0" collapsed="false">
      <c r="B102" s="10" t="s">
        <v>99</v>
      </c>
      <c r="C102" s="97" t="n">
        <f aca="false">SUMPRODUCT($C$79:$I$79,--(INDEX('Programme de vols'!$D$49:$J$513,9,0)&lt;&gt;""))+SUMIFS('Programme de vols'!$E$521:$E$560,'Programme de vols'!$C$521:$C$560,"BKKRUN",'Programme de vols'!$D$521:$D$560,"A320",'Programme de vols'!$B$521:$B$560,"&gt;="&amp;$J$79,'Programme de vols'!$B$521:$B$560,"&lt;="&amp;$K$79)</f>
        <v>0</v>
      </c>
      <c r="D102" s="97" t="n">
        <f aca="false">SUMPRODUCT($C$80:$I$80,--(INDEX('Programme de vols'!$D$49:$J$513,48,0)&lt;&gt;""))+SUMIFS('Programme de vols'!$E$521:$E$560,'Programme de vols'!$C$521:$C$560,"BKKRUN",'Programme de vols'!$D$521:$D$560,"A320",'Programme de vols'!$B$521:$B$560,"&gt;="&amp;$J$80,'Programme de vols'!$B$521:$B$560,"&lt;="&amp;$K$80)</f>
        <v>0</v>
      </c>
      <c r="E102" s="97" t="n">
        <f aca="false">SUMPRODUCT($C$81:$I$81,--(INDEX('Programme de vols'!$D$49:$J$513,87,0)&lt;&gt;""))+SUMIFS('Programme de vols'!$E$521:$E$560,'Programme de vols'!$C$521:$C$560,"BKKRUN",'Programme de vols'!$D$521:$D$560,"A320",'Programme de vols'!$B$521:$B$560,"&gt;="&amp;$J$81,'Programme de vols'!$B$521:$B$560,"&lt;="&amp;$K$81)</f>
        <v>0</v>
      </c>
      <c r="F102" s="97" t="n">
        <f aca="false">SUMPRODUCT($C$82:$I$82,--(INDEX('Programme de vols'!$D$49:$J$513,126,0)&lt;&gt;""))+SUMIFS('Programme de vols'!$E$521:$E$560,'Programme de vols'!$C$521:$C$560,"BKKRUN",'Programme de vols'!$D$521:$D$560,"A320",'Programme de vols'!$B$521:$B$560,"&gt;="&amp;$J$82,'Programme de vols'!$B$521:$B$560,"&lt;="&amp;$K$82)</f>
        <v>0</v>
      </c>
      <c r="G102" s="97" t="n">
        <f aca="false">SUMPRODUCT($C$83:$I$83,--(INDEX('Programme de vols'!$D$49:$J$513,165,0)&lt;&gt;""))+SUMIFS('Programme de vols'!$E$521:$E$560,'Programme de vols'!$C$521:$C$560,"BKKRUN",'Programme de vols'!$D$521:$D$560,"A320",'Programme de vols'!$B$521:$B$560,"&gt;="&amp;$J$83,'Programme de vols'!$B$521:$B$560,"&lt;="&amp;$K$83)</f>
        <v>0</v>
      </c>
      <c r="H102" s="97" t="n">
        <f aca="false">SUMPRODUCT($C$84:$I$84,--(INDEX('Programme de vols'!$D$49:$J$513,204,0)&lt;&gt;""))+SUMIFS('Programme de vols'!$E$521:$E$560,'Programme de vols'!$C$521:$C$560,"BKKRUN",'Programme de vols'!$D$521:$D$560,"A320",'Programme de vols'!$B$521:$B$560,"&gt;="&amp;$J$84,'Programme de vols'!$B$521:$B$560,"&lt;="&amp;$K$84)</f>
        <v>0</v>
      </c>
      <c r="I102" s="97" t="n">
        <f aca="false">SUMPRODUCT($C$85:$I$85,--(INDEX('Programme de vols'!$D$49:$J$513,243,0)&lt;&gt;""))+SUMIFS('Programme de vols'!$E$521:$E$560,'Programme de vols'!$C$521:$C$560,"BKKRUN",'Programme de vols'!$D$521:$D$560,"A320",'Programme de vols'!$B$521:$B$560,"&gt;="&amp;$J$85,'Programme de vols'!$B$521:$B$560,"&lt;="&amp;$K$85)</f>
        <v>0</v>
      </c>
      <c r="J102" s="97" t="n">
        <f aca="false">SUMPRODUCT($C$86:$I$86,--(INDEX('Programme de vols'!$D$49:$J$513,282,0)&lt;&gt;""))+SUMIFS('Programme de vols'!$E$521:$E$560,'Programme de vols'!$C$521:$C$560,"BKKRUN",'Programme de vols'!$D$521:$D$560,"A320",'Programme de vols'!$B$521:$B$560,"&gt;="&amp;$J$86,'Programme de vols'!$B$521:$B$560,"&lt;="&amp;$K$86)</f>
        <v>0</v>
      </c>
      <c r="K102" s="97" t="n">
        <f aca="false">SUMPRODUCT($C$87:$I$87,--(INDEX('Programme de vols'!$D$49:$J$513,321,0)&lt;&gt;""))+SUMIFS('Programme de vols'!$E$521:$E$560,'Programme de vols'!$C$521:$C$560,"BKKRUN",'Programme de vols'!$D$521:$D$560,"A320",'Programme de vols'!$B$521:$B$560,"&gt;="&amp;$J$87,'Programme de vols'!$B$521:$B$560,"&lt;="&amp;$K$87)</f>
        <v>0</v>
      </c>
      <c r="L102" s="97" t="n">
        <f aca="false">SUMPRODUCT($C$88:$I$88,--(INDEX('Programme de vols'!$D$49:$J$513,360,0)&lt;&gt;""))+SUMIFS('Programme de vols'!$E$521:$E$560,'Programme de vols'!$C$521:$C$560,"BKKRUN",'Programme de vols'!$D$521:$D$560,"A320",'Programme de vols'!$B$521:$B$560,"&gt;="&amp;$J$88,'Programme de vols'!$B$521:$B$560,"&lt;="&amp;$K$88)</f>
        <v>0</v>
      </c>
      <c r="M102" s="97" t="n">
        <f aca="false">SUMPRODUCT($C$89:$I$89,--(INDEX('Programme de vols'!$D$49:$J$513,399,0)&lt;&gt;""))+SUMIFS('Programme de vols'!$E$521:$E$560,'Programme de vols'!$C$521:$C$560,"BKKRUN",'Programme de vols'!$D$521:$D$560,"A320",'Programme de vols'!$B$521:$B$560,"&gt;="&amp;$J$89,'Programme de vols'!$B$521:$B$560,"&lt;="&amp;$K$89)</f>
        <v>0</v>
      </c>
      <c r="N102" s="97" t="n">
        <f aca="false">SUMPRODUCT($C$90:$I$90,--(INDEX('Programme de vols'!$D$49:$J$513,438,0)&lt;&gt;""))+SUMIFS('Programme de vols'!$E$521:$E$560,'Programme de vols'!$C$521:$C$560,"BKKRUN",'Programme de vols'!$D$521:$D$560,"A320",'Programme de vols'!$B$521:$B$560,"&gt;="&amp;$J$90,'Programme de vols'!$B$521:$B$560,"&lt;="&amp;$K$90)</f>
        <v>0</v>
      </c>
      <c r="O102" s="12" t="s">
        <v>24</v>
      </c>
      <c r="P102" s="12" t="s">
        <v>23</v>
      </c>
    </row>
    <row r="103" customFormat="false" ht="15" hidden="false" customHeight="false" outlineLevel="0" collapsed="false">
      <c r="B103" s="10" t="s">
        <v>100</v>
      </c>
      <c r="C103" s="97" t="n">
        <f aca="false">SUMPRODUCT($C$79:$I$79,--(INDEX('Programme de vols'!$D$49:$J$513,10,0)&lt;&gt;""))+SUMIFS('Programme de vols'!$E$521:$E$560,'Programme de vols'!$C$521:$C$560,"DZARUN",'Programme de vols'!$D$521:$D$560,"77W",'Programme de vols'!$B$521:$B$560,"&gt;="&amp;$J$79,'Programme de vols'!$B$521:$B$560,"&lt;="&amp;$K$79)</f>
        <v>0</v>
      </c>
      <c r="D103" s="97" t="n">
        <f aca="false">SUMPRODUCT($C$80:$I$80,--(INDEX('Programme de vols'!$D$49:$J$513,49,0)&lt;&gt;""))+SUMIFS('Programme de vols'!$E$521:$E$560,'Programme de vols'!$C$521:$C$560,"DZARUN",'Programme de vols'!$D$521:$D$560,"77W",'Programme de vols'!$B$521:$B$560,"&gt;="&amp;$J$80,'Programme de vols'!$B$521:$B$560,"&lt;="&amp;$K$80)</f>
        <v>0</v>
      </c>
      <c r="E103" s="97" t="n">
        <f aca="false">SUMPRODUCT($C$81:$I$81,--(INDEX('Programme de vols'!$D$49:$J$513,88,0)&lt;&gt;""))+SUMIFS('Programme de vols'!$E$521:$E$560,'Programme de vols'!$C$521:$C$560,"DZARUN",'Programme de vols'!$D$521:$D$560,"77W",'Programme de vols'!$B$521:$B$560,"&gt;="&amp;$J$81,'Programme de vols'!$B$521:$B$560,"&lt;="&amp;$K$81)</f>
        <v>0</v>
      </c>
      <c r="F103" s="97" t="n">
        <f aca="false">SUMPRODUCT($C$82:$I$82,--(INDEX('Programme de vols'!$D$49:$J$513,127,0)&lt;&gt;""))+SUMIFS('Programme de vols'!$E$521:$E$560,'Programme de vols'!$C$521:$C$560,"DZARUN",'Programme de vols'!$D$521:$D$560,"77W",'Programme de vols'!$B$521:$B$560,"&gt;="&amp;$J$82,'Programme de vols'!$B$521:$B$560,"&lt;="&amp;$K$82)</f>
        <v>0</v>
      </c>
      <c r="G103" s="97" t="n">
        <f aca="false">SUMPRODUCT($C$83:$I$83,--(INDEX('Programme de vols'!$D$49:$J$513,166,0)&lt;&gt;""))+SUMIFS('Programme de vols'!$E$521:$E$560,'Programme de vols'!$C$521:$C$560,"DZARUN",'Programme de vols'!$D$521:$D$560,"77W",'Programme de vols'!$B$521:$B$560,"&gt;="&amp;$J$83,'Programme de vols'!$B$521:$B$560,"&lt;="&amp;$K$83)</f>
        <v>0</v>
      </c>
      <c r="H103" s="97" t="n">
        <f aca="false">SUMPRODUCT($C$84:$I$84,--(INDEX('Programme de vols'!$D$49:$J$513,205,0)&lt;&gt;""))+SUMIFS('Programme de vols'!$E$521:$E$560,'Programme de vols'!$C$521:$C$560,"DZARUN",'Programme de vols'!$D$521:$D$560,"77W",'Programme de vols'!$B$521:$B$560,"&gt;="&amp;$J$84,'Programme de vols'!$B$521:$B$560,"&lt;="&amp;$K$84)</f>
        <v>0</v>
      </c>
      <c r="I103" s="97" t="n">
        <f aca="false">SUMPRODUCT($C$85:$I$85,--(INDEX('Programme de vols'!$D$49:$J$513,244,0)&lt;&gt;""))+SUMIFS('Programme de vols'!$E$521:$E$560,'Programme de vols'!$C$521:$C$560,"DZARUN",'Programme de vols'!$D$521:$D$560,"77W",'Programme de vols'!$B$521:$B$560,"&gt;="&amp;$J$85,'Programme de vols'!$B$521:$B$560,"&lt;="&amp;$K$85)</f>
        <v>0</v>
      </c>
      <c r="J103" s="97" t="n">
        <f aca="false">SUMPRODUCT($C$86:$I$86,--(INDEX('Programme de vols'!$D$49:$J$513,283,0)&lt;&gt;""))+SUMIFS('Programme de vols'!$E$521:$E$560,'Programme de vols'!$C$521:$C$560,"DZARUN",'Programme de vols'!$D$521:$D$560,"77W",'Programme de vols'!$B$521:$B$560,"&gt;="&amp;$J$86,'Programme de vols'!$B$521:$B$560,"&lt;="&amp;$K$86)</f>
        <v>0</v>
      </c>
      <c r="K103" s="97" t="n">
        <f aca="false">SUMPRODUCT($C$87:$I$87,--(INDEX('Programme de vols'!$D$49:$J$513,322,0)&lt;&gt;""))+SUMIFS('Programme de vols'!$E$521:$E$560,'Programme de vols'!$C$521:$C$560,"DZARUN",'Programme de vols'!$D$521:$D$560,"77W",'Programme de vols'!$B$521:$B$560,"&gt;="&amp;$J$87,'Programme de vols'!$B$521:$B$560,"&lt;="&amp;$K$87)</f>
        <v>0</v>
      </c>
      <c r="L103" s="97" t="n">
        <f aca="false">SUMPRODUCT($C$88:$I$88,--(INDEX('Programme de vols'!$D$49:$J$513,361,0)&lt;&gt;""))+SUMIFS('Programme de vols'!$E$521:$E$560,'Programme de vols'!$C$521:$C$560,"DZARUN",'Programme de vols'!$D$521:$D$560,"77W",'Programme de vols'!$B$521:$B$560,"&gt;="&amp;$J$88,'Programme de vols'!$B$521:$B$560,"&lt;="&amp;$K$88)</f>
        <v>0</v>
      </c>
      <c r="M103" s="97" t="n">
        <f aca="false">SUMPRODUCT($C$89:$I$89,--(INDEX('Programme de vols'!$D$49:$J$513,400,0)&lt;&gt;""))+SUMIFS('Programme de vols'!$E$521:$E$560,'Programme de vols'!$C$521:$C$560,"DZARUN",'Programme de vols'!$D$521:$D$560,"77W",'Programme de vols'!$B$521:$B$560,"&gt;="&amp;$J$89,'Programme de vols'!$B$521:$B$560,"&lt;="&amp;$K$89)</f>
        <v>0</v>
      </c>
      <c r="N103" s="97" t="n">
        <f aca="false">SUMPRODUCT($C$90:$I$90,--(INDEX('Programme de vols'!$D$49:$J$513,439,0)&lt;&gt;""))+SUMIFS('Programme de vols'!$E$521:$E$560,'Programme de vols'!$C$521:$C$560,"DZARUN",'Programme de vols'!$D$521:$D$560,"77W",'Programme de vols'!$B$521:$B$560,"&gt;="&amp;$J$90,'Programme de vols'!$B$521:$B$560,"&lt;="&amp;$K$90)</f>
        <v>0</v>
      </c>
      <c r="O103" s="12" t="s">
        <v>35</v>
      </c>
      <c r="P103" s="12" t="s">
        <v>11</v>
      </c>
    </row>
    <row r="104" customFormat="false" ht="15" hidden="false" customHeight="false" outlineLevel="0" collapsed="false">
      <c r="B104" s="10" t="s">
        <v>101</v>
      </c>
      <c r="C104" s="97" t="n">
        <f aca="false">SUMPRODUCT($C$79:$I$79,--(INDEX('Programme de vols'!$D$49:$J$513,11,0)&lt;&gt;""))+SUMIFS('Programme de vols'!$E$521:$E$560,'Programme de vols'!$C$521:$C$560,"DZARUN",'Programme de vols'!$D$521:$D$560,"778",'Programme de vols'!$B$521:$B$560,"&gt;="&amp;$J$79,'Programme de vols'!$B$521:$B$560,"&lt;="&amp;$K$79)</f>
        <v>4</v>
      </c>
      <c r="D104" s="97" t="n">
        <f aca="false">SUMPRODUCT($C$80:$I$80,--(INDEX('Programme de vols'!$D$49:$J$513,50,0)&lt;&gt;""))+SUMIFS('Programme de vols'!$E$521:$E$560,'Programme de vols'!$C$521:$C$560,"DZARUN",'Programme de vols'!$D$521:$D$560,"778",'Programme de vols'!$B$521:$B$560,"&gt;="&amp;$J$80,'Programme de vols'!$B$521:$B$560,"&lt;="&amp;$K$80)</f>
        <v>4</v>
      </c>
      <c r="E104" s="97" t="n">
        <f aca="false">SUMPRODUCT($C$81:$I$81,--(INDEX('Programme de vols'!$D$49:$J$513,89,0)&lt;&gt;""))+SUMIFS('Programme de vols'!$E$521:$E$560,'Programme de vols'!$C$521:$C$560,"DZARUN",'Programme de vols'!$D$521:$D$560,"778",'Programme de vols'!$B$521:$B$560,"&gt;="&amp;$J$81,'Programme de vols'!$B$521:$B$560,"&lt;="&amp;$K$81)</f>
        <v>5</v>
      </c>
      <c r="F104" s="97" t="n">
        <f aca="false">SUMPRODUCT($C$82:$I$82,--(INDEX('Programme de vols'!$D$49:$J$513,128,0)&lt;&gt;""))+SUMIFS('Programme de vols'!$E$521:$E$560,'Programme de vols'!$C$521:$C$560,"DZARUN",'Programme de vols'!$D$521:$D$560,"778",'Programme de vols'!$B$521:$B$560,"&gt;="&amp;$J$82,'Programme de vols'!$B$521:$B$560,"&lt;="&amp;$K$82)</f>
        <v>4</v>
      </c>
      <c r="G104" s="97" t="n">
        <f aca="false">SUMPRODUCT($C$83:$I$83,--(INDEX('Programme de vols'!$D$49:$J$513,167,0)&lt;&gt;""))+SUMIFS('Programme de vols'!$E$521:$E$560,'Programme de vols'!$C$521:$C$560,"DZARUN",'Programme de vols'!$D$521:$D$560,"778",'Programme de vols'!$B$521:$B$560,"&gt;="&amp;$J$83,'Programme de vols'!$B$521:$B$560,"&lt;="&amp;$K$83)</f>
        <v>4</v>
      </c>
      <c r="H104" s="97" t="n">
        <f aca="false">SUMPRODUCT($C$84:$I$84,--(INDEX('Programme de vols'!$D$49:$J$513,206,0)&lt;&gt;""))+SUMIFS('Programme de vols'!$E$521:$E$560,'Programme de vols'!$C$521:$C$560,"DZARUN",'Programme de vols'!$D$521:$D$560,"778",'Programme de vols'!$B$521:$B$560,"&gt;="&amp;$J$84,'Programme de vols'!$B$521:$B$560,"&lt;="&amp;$K$84)</f>
        <v>5</v>
      </c>
      <c r="I104" s="97" t="n">
        <f aca="false">SUMPRODUCT($C$85:$I$85,--(INDEX('Programme de vols'!$D$49:$J$513,245,0)&lt;&gt;""))+SUMIFS('Programme de vols'!$E$521:$E$560,'Programme de vols'!$C$521:$C$560,"DZARUN",'Programme de vols'!$D$521:$D$560,"778",'Programme de vols'!$B$521:$B$560,"&gt;="&amp;$J$85,'Programme de vols'!$B$521:$B$560,"&lt;="&amp;$K$85)</f>
        <v>4</v>
      </c>
      <c r="J104" s="97" t="n">
        <f aca="false">SUMPRODUCT($C$86:$I$86,--(INDEX('Programme de vols'!$D$49:$J$513,284,0)&lt;&gt;""))+SUMIFS('Programme de vols'!$E$521:$E$560,'Programme de vols'!$C$521:$C$560,"DZARUN",'Programme de vols'!$D$521:$D$560,"778",'Programme de vols'!$B$521:$B$560,"&gt;="&amp;$J$86,'Programme de vols'!$B$521:$B$560,"&lt;="&amp;$K$86)</f>
        <v>4</v>
      </c>
      <c r="K104" s="97" t="n">
        <f aca="false">SUMPRODUCT($C$87:$I$87,--(INDEX('Programme de vols'!$D$49:$J$513,323,0)&lt;&gt;""))+SUMIFS('Programme de vols'!$E$521:$E$560,'Programme de vols'!$C$521:$C$560,"DZARUN",'Programme de vols'!$D$521:$D$560,"778",'Programme de vols'!$B$521:$B$560,"&gt;="&amp;$J$87,'Programme de vols'!$B$521:$B$560,"&lt;="&amp;$K$87)</f>
        <v>5</v>
      </c>
      <c r="L104" s="97" t="n">
        <f aca="false">SUMPRODUCT($C$88:$I$88,--(INDEX('Programme de vols'!$D$49:$J$513,362,0)&lt;&gt;""))+SUMIFS('Programme de vols'!$E$521:$E$560,'Programme de vols'!$C$521:$C$560,"DZARUN",'Programme de vols'!$D$521:$D$560,"778",'Programme de vols'!$B$521:$B$560,"&gt;="&amp;$J$88,'Programme de vols'!$B$521:$B$560,"&lt;="&amp;$K$88)</f>
        <v>4</v>
      </c>
      <c r="M104" s="97" t="n">
        <f aca="false">SUMPRODUCT($C$89:$I$89,--(INDEX('Programme de vols'!$D$49:$J$513,401,0)&lt;&gt;""))+SUMIFS('Programme de vols'!$E$521:$E$560,'Programme de vols'!$C$521:$C$560,"DZARUN",'Programme de vols'!$D$521:$D$560,"778",'Programme de vols'!$B$521:$B$560,"&gt;="&amp;$J$89,'Programme de vols'!$B$521:$B$560,"&lt;="&amp;$K$89)</f>
        <v>4</v>
      </c>
      <c r="N104" s="97" t="n">
        <f aca="false">SUMPRODUCT($C$90:$I$90,--(INDEX('Programme de vols'!$D$49:$J$513,440,0)&lt;&gt;""))+SUMIFS('Programme de vols'!$E$521:$E$560,'Programme de vols'!$C$521:$C$560,"DZARUN",'Programme de vols'!$D$521:$D$560,"778",'Programme de vols'!$B$521:$B$560,"&gt;="&amp;$J$90,'Programme de vols'!$B$521:$B$560,"&lt;="&amp;$K$90)</f>
        <v>5</v>
      </c>
      <c r="O104" s="12" t="s">
        <v>35</v>
      </c>
      <c r="P104" s="12" t="s">
        <v>18</v>
      </c>
    </row>
    <row r="105" customFormat="false" ht="15" hidden="false" customHeight="false" outlineLevel="0" collapsed="false">
      <c r="B105" s="10" t="s">
        <v>102</v>
      </c>
      <c r="C105" s="97" t="n">
        <f aca="false">SUMPRODUCT($C$79:$I$79,--(INDEX('Programme de vols'!$D$49:$J$513,12,0)&lt;&gt;""))+SUMIFS('Programme de vols'!$E$521:$E$560,'Programme de vols'!$C$521:$C$560,"DZARUN",'Programme de vols'!$D$521:$D$560,"A320",'Programme de vols'!$B$521:$B$560,"&gt;="&amp;$J$79,'Programme de vols'!$B$521:$B$560,"&lt;="&amp;$K$79)</f>
        <v>22</v>
      </c>
      <c r="D105" s="97" t="n">
        <f aca="false">SUMPRODUCT($C$80:$I$80,--(INDEX('Programme de vols'!$D$49:$J$513,51,0)&lt;&gt;""))+SUMIFS('Programme de vols'!$E$521:$E$560,'Programme de vols'!$C$521:$C$560,"DZARUN",'Programme de vols'!$D$521:$D$560,"A320",'Programme de vols'!$B$521:$B$560,"&gt;="&amp;$J$80,'Programme de vols'!$B$521:$B$560,"&lt;="&amp;$K$80)</f>
        <v>21</v>
      </c>
      <c r="E105" s="97" t="n">
        <f aca="false">SUMPRODUCT($C$81:$I$81,--(INDEX('Programme de vols'!$D$49:$J$513,90,0)&lt;&gt;""))+SUMIFS('Programme de vols'!$E$521:$E$560,'Programme de vols'!$C$521:$C$560,"DZARUN",'Programme de vols'!$D$521:$D$560,"A320",'Programme de vols'!$B$521:$B$560,"&gt;="&amp;$J$81,'Programme de vols'!$B$521:$B$560,"&lt;="&amp;$K$81)</f>
        <v>22</v>
      </c>
      <c r="F105" s="97" t="n">
        <f aca="false">SUMPRODUCT($C$82:$I$82,--(INDEX('Programme de vols'!$D$49:$J$513,129,0)&lt;&gt;""))+SUMIFS('Programme de vols'!$E$521:$E$560,'Programme de vols'!$C$521:$C$560,"DZARUN",'Programme de vols'!$D$521:$D$560,"A320",'Programme de vols'!$B$521:$B$560,"&gt;="&amp;$J$82,'Programme de vols'!$B$521:$B$560,"&lt;="&amp;$K$82)</f>
        <v>22</v>
      </c>
      <c r="G105" s="97" t="n">
        <f aca="false">SUMPRODUCT($C$83:$I$83,--(INDEX('Programme de vols'!$D$49:$J$513,168,0)&lt;&gt;""))+SUMIFS('Programme de vols'!$E$521:$E$560,'Programme de vols'!$C$521:$C$560,"DZARUN",'Programme de vols'!$D$521:$D$560,"A320",'Programme de vols'!$B$521:$B$560,"&gt;="&amp;$J$83,'Programme de vols'!$B$521:$B$560,"&lt;="&amp;$K$83)</f>
        <v>22</v>
      </c>
      <c r="H105" s="97" t="n">
        <f aca="false">SUMPRODUCT($C$84:$I$84,--(INDEX('Programme de vols'!$D$49:$J$513,207,0)&lt;&gt;""))+SUMIFS('Programme de vols'!$E$521:$E$560,'Programme de vols'!$C$521:$C$560,"DZARUN",'Programme de vols'!$D$521:$D$560,"A320",'Programme de vols'!$B$521:$B$560,"&gt;="&amp;$J$84,'Programme de vols'!$B$521:$B$560,"&lt;="&amp;$K$84)</f>
        <v>22</v>
      </c>
      <c r="I105" s="97" t="n">
        <f aca="false">SUMPRODUCT($C$85:$I$85,--(INDEX('Programme de vols'!$D$49:$J$513,246,0)&lt;&gt;""))+SUMIFS('Programme de vols'!$E$521:$E$560,'Programme de vols'!$C$521:$C$560,"DZARUN",'Programme de vols'!$D$521:$D$560,"A320",'Programme de vols'!$B$521:$B$560,"&gt;="&amp;$J$85,'Programme de vols'!$B$521:$B$560,"&lt;="&amp;$K$85)</f>
        <v>21</v>
      </c>
      <c r="J105" s="97" t="n">
        <f aca="false">SUMPRODUCT($C$86:$I$86,--(INDEX('Programme de vols'!$D$49:$J$513,285,0)&lt;&gt;""))+SUMIFS('Programme de vols'!$E$521:$E$560,'Programme de vols'!$C$521:$C$560,"DZARUN",'Programme de vols'!$D$521:$D$560,"A320",'Programme de vols'!$B$521:$B$560,"&gt;="&amp;$J$86,'Programme de vols'!$B$521:$B$560,"&lt;="&amp;$K$86)</f>
        <v>22</v>
      </c>
      <c r="K105" s="97" t="n">
        <f aca="false">SUMPRODUCT($C$87:$I$87,--(INDEX('Programme de vols'!$D$49:$J$513,324,0)&lt;&gt;""))+SUMIFS('Programme de vols'!$E$521:$E$560,'Programme de vols'!$C$521:$C$560,"DZARUN",'Programme de vols'!$D$521:$D$560,"A320",'Programme de vols'!$B$521:$B$560,"&gt;="&amp;$J$87,'Programme de vols'!$B$521:$B$560,"&lt;="&amp;$K$87)</f>
        <v>23</v>
      </c>
      <c r="L105" s="97" t="n">
        <f aca="false">SUMPRODUCT($C$88:$I$88,--(INDEX('Programme de vols'!$D$49:$J$513,363,0)&lt;&gt;""))+SUMIFS('Programme de vols'!$E$521:$E$560,'Programme de vols'!$C$521:$C$560,"DZARUN",'Programme de vols'!$D$521:$D$560,"A320",'Programme de vols'!$B$521:$B$560,"&gt;="&amp;$J$88,'Programme de vols'!$B$521:$B$560,"&lt;="&amp;$K$88)</f>
        <v>21</v>
      </c>
      <c r="M105" s="97" t="n">
        <f aca="false">SUMPRODUCT($C$89:$I$89,--(INDEX('Programme de vols'!$D$49:$J$513,402,0)&lt;&gt;""))+SUMIFS('Programme de vols'!$E$521:$E$560,'Programme de vols'!$C$521:$C$560,"DZARUN",'Programme de vols'!$D$521:$D$560,"A320",'Programme de vols'!$B$521:$B$560,"&gt;="&amp;$J$89,'Programme de vols'!$B$521:$B$560,"&lt;="&amp;$K$89)</f>
        <v>21</v>
      </c>
      <c r="N105" s="97" t="n">
        <f aca="false">SUMPRODUCT($C$90:$I$90,--(INDEX('Programme de vols'!$D$49:$J$513,441,0)&lt;&gt;""))+SUMIFS('Programme de vols'!$E$521:$E$560,'Programme de vols'!$C$521:$C$560,"DZARUN",'Programme de vols'!$D$521:$D$560,"A320",'Programme de vols'!$B$521:$B$560,"&gt;="&amp;$J$90,'Programme de vols'!$B$521:$B$560,"&lt;="&amp;$K$90)</f>
        <v>23</v>
      </c>
      <c r="O105" s="12" t="s">
        <v>35</v>
      </c>
      <c r="P105" s="12" t="s">
        <v>23</v>
      </c>
    </row>
    <row r="106" customFormat="false" ht="15" hidden="false" customHeight="false" outlineLevel="0" collapsed="false">
      <c r="B106" s="10" t="s">
        <v>103</v>
      </c>
      <c r="C106" s="97" t="n">
        <f aca="false">SUMPRODUCT($C$79:$I$79,--(INDEX('Programme de vols'!$D$49:$J$513,13,0)&lt;&gt;""))+SUMIFS('Programme de vols'!$E$521:$E$560,'Programme de vols'!$C$521:$C$560,"MRURUN",'Programme de vols'!$D$521:$D$560,"77W",'Programme de vols'!$B$521:$B$560,"&gt;="&amp;$J$79,'Programme de vols'!$B$521:$B$560,"&lt;="&amp;$K$79)</f>
        <v>0</v>
      </c>
      <c r="D106" s="97" t="n">
        <f aca="false">SUMPRODUCT($C$80:$I$80,--(INDEX('Programme de vols'!$D$49:$J$513,52,0)&lt;&gt;""))+SUMIFS('Programme de vols'!$E$521:$E$560,'Programme de vols'!$C$521:$C$560,"MRURUN",'Programme de vols'!$D$521:$D$560,"77W",'Programme de vols'!$B$521:$B$560,"&gt;="&amp;$J$80,'Programme de vols'!$B$521:$B$560,"&lt;="&amp;$K$80)</f>
        <v>0</v>
      </c>
      <c r="E106" s="97" t="n">
        <f aca="false">SUMPRODUCT($C$81:$I$81,--(INDEX('Programme de vols'!$D$49:$J$513,91,0)&lt;&gt;""))+SUMIFS('Programme de vols'!$E$521:$E$560,'Programme de vols'!$C$521:$C$560,"MRURUN",'Programme de vols'!$D$521:$D$560,"77W",'Programme de vols'!$B$521:$B$560,"&gt;="&amp;$J$81,'Programme de vols'!$B$521:$B$560,"&lt;="&amp;$K$81)</f>
        <v>0</v>
      </c>
      <c r="F106" s="97" t="n">
        <f aca="false">SUMPRODUCT($C$82:$I$82,--(INDEX('Programme de vols'!$D$49:$J$513,130,0)&lt;&gt;""))+SUMIFS('Programme de vols'!$E$521:$E$560,'Programme de vols'!$C$521:$C$560,"MRURUN",'Programme de vols'!$D$521:$D$560,"77W",'Programme de vols'!$B$521:$B$560,"&gt;="&amp;$J$82,'Programme de vols'!$B$521:$B$560,"&lt;="&amp;$K$82)</f>
        <v>0</v>
      </c>
      <c r="G106" s="97" t="n">
        <f aca="false">SUMPRODUCT($C$83:$I$83,--(INDEX('Programme de vols'!$D$49:$J$513,169,0)&lt;&gt;""))+SUMIFS('Programme de vols'!$E$521:$E$560,'Programme de vols'!$C$521:$C$560,"MRURUN",'Programme de vols'!$D$521:$D$560,"77W",'Programme de vols'!$B$521:$B$560,"&gt;="&amp;$J$83,'Programme de vols'!$B$521:$B$560,"&lt;="&amp;$K$83)</f>
        <v>0</v>
      </c>
      <c r="H106" s="97" t="n">
        <f aca="false">SUMPRODUCT($C$84:$I$84,--(INDEX('Programme de vols'!$D$49:$J$513,208,0)&lt;&gt;""))+SUMIFS('Programme de vols'!$E$521:$E$560,'Programme de vols'!$C$521:$C$560,"MRURUN",'Programme de vols'!$D$521:$D$560,"77W",'Programme de vols'!$B$521:$B$560,"&gt;="&amp;$J$84,'Programme de vols'!$B$521:$B$560,"&lt;="&amp;$K$84)</f>
        <v>0</v>
      </c>
      <c r="I106" s="97" t="n">
        <f aca="false">SUMPRODUCT($C$85:$I$85,--(INDEX('Programme de vols'!$D$49:$J$513,247,0)&lt;&gt;""))+SUMIFS('Programme de vols'!$E$521:$E$560,'Programme de vols'!$C$521:$C$560,"MRURUN",'Programme de vols'!$D$521:$D$560,"77W",'Programme de vols'!$B$521:$B$560,"&gt;="&amp;$J$85,'Programme de vols'!$B$521:$B$560,"&lt;="&amp;$K$85)</f>
        <v>0</v>
      </c>
      <c r="J106" s="97" t="n">
        <f aca="false">SUMPRODUCT($C$86:$I$86,--(INDEX('Programme de vols'!$D$49:$J$513,286,0)&lt;&gt;""))+SUMIFS('Programme de vols'!$E$521:$E$560,'Programme de vols'!$C$521:$C$560,"MRURUN",'Programme de vols'!$D$521:$D$560,"77W",'Programme de vols'!$B$521:$B$560,"&gt;="&amp;$J$86,'Programme de vols'!$B$521:$B$560,"&lt;="&amp;$K$86)</f>
        <v>0</v>
      </c>
      <c r="K106" s="97" t="n">
        <f aca="false">SUMPRODUCT($C$87:$I$87,--(INDEX('Programme de vols'!$D$49:$J$513,325,0)&lt;&gt;""))+SUMIFS('Programme de vols'!$E$521:$E$560,'Programme de vols'!$C$521:$C$560,"MRURUN",'Programme de vols'!$D$521:$D$560,"77W",'Programme de vols'!$B$521:$B$560,"&gt;="&amp;$J$87,'Programme de vols'!$B$521:$B$560,"&lt;="&amp;$K$87)</f>
        <v>0</v>
      </c>
      <c r="L106" s="97" t="n">
        <f aca="false">SUMPRODUCT($C$88:$I$88,--(INDEX('Programme de vols'!$D$49:$J$513,364,0)&lt;&gt;""))+SUMIFS('Programme de vols'!$E$521:$E$560,'Programme de vols'!$C$521:$C$560,"MRURUN",'Programme de vols'!$D$521:$D$560,"77W",'Programme de vols'!$B$521:$B$560,"&gt;="&amp;$J$88,'Programme de vols'!$B$521:$B$560,"&lt;="&amp;$K$88)</f>
        <v>0</v>
      </c>
      <c r="M106" s="97" t="n">
        <f aca="false">SUMPRODUCT($C$89:$I$89,--(INDEX('Programme de vols'!$D$49:$J$513,403,0)&lt;&gt;""))+SUMIFS('Programme de vols'!$E$521:$E$560,'Programme de vols'!$C$521:$C$560,"MRURUN",'Programme de vols'!$D$521:$D$560,"77W",'Programme de vols'!$B$521:$B$560,"&gt;="&amp;$J$89,'Programme de vols'!$B$521:$B$560,"&lt;="&amp;$K$89)</f>
        <v>0</v>
      </c>
      <c r="N106" s="97" t="n">
        <f aca="false">SUMPRODUCT($C$90:$I$90,--(INDEX('Programme de vols'!$D$49:$J$513,442,0)&lt;&gt;""))+SUMIFS('Programme de vols'!$E$521:$E$560,'Programme de vols'!$C$521:$C$560,"MRURUN",'Programme de vols'!$D$521:$D$560,"77W",'Programme de vols'!$B$521:$B$560,"&gt;="&amp;$J$90,'Programme de vols'!$B$521:$B$560,"&lt;="&amp;$K$90)</f>
        <v>0</v>
      </c>
      <c r="O106" s="12" t="s">
        <v>39</v>
      </c>
      <c r="P106" s="12" t="s">
        <v>11</v>
      </c>
    </row>
    <row r="107" customFormat="false" ht="15" hidden="false" customHeight="false" outlineLevel="0" collapsed="false">
      <c r="B107" s="10" t="s">
        <v>105</v>
      </c>
      <c r="C107" s="97" t="n">
        <f aca="false">SUMPRODUCT($C$79:$I$79,--(INDEX('Programme de vols'!$D$49:$J$513,14,0)&lt;&gt;""))+SUMIFS('Programme de vols'!$E$521:$E$560,'Programme de vols'!$C$521:$C$560,"MRURUN",'Programme de vols'!$D$521:$D$560,"778",'Programme de vols'!$B$521:$B$560,"&gt;="&amp;$J$79,'Programme de vols'!$B$521:$B$560,"&lt;="&amp;$K$79)</f>
        <v>0</v>
      </c>
      <c r="D107" s="97" t="n">
        <f aca="false">SUMPRODUCT($C$80:$I$80,--(INDEX('Programme de vols'!$D$49:$J$513,53,0)&lt;&gt;""))+SUMIFS('Programme de vols'!$E$521:$E$560,'Programme de vols'!$C$521:$C$560,"MRURUN",'Programme de vols'!$D$521:$D$560,"778",'Programme de vols'!$B$521:$B$560,"&gt;="&amp;$J$80,'Programme de vols'!$B$521:$B$560,"&lt;="&amp;$K$80)</f>
        <v>0</v>
      </c>
      <c r="E107" s="97" t="n">
        <f aca="false">SUMPRODUCT($C$81:$I$81,--(INDEX('Programme de vols'!$D$49:$J$513,92,0)&lt;&gt;""))+SUMIFS('Programme de vols'!$E$521:$E$560,'Programme de vols'!$C$521:$C$560,"MRURUN",'Programme de vols'!$D$521:$D$560,"778",'Programme de vols'!$B$521:$B$560,"&gt;="&amp;$J$81,'Programme de vols'!$B$521:$B$560,"&lt;="&amp;$K$81)</f>
        <v>0</v>
      </c>
      <c r="F107" s="97" t="n">
        <f aca="false">SUMPRODUCT($C$82:$I$82,--(INDEX('Programme de vols'!$D$49:$J$513,131,0)&lt;&gt;""))+SUMIFS('Programme de vols'!$E$521:$E$560,'Programme de vols'!$C$521:$C$560,"MRURUN",'Programme de vols'!$D$521:$D$560,"778",'Programme de vols'!$B$521:$B$560,"&gt;="&amp;$J$82,'Programme de vols'!$B$521:$B$560,"&lt;="&amp;$K$82)</f>
        <v>0</v>
      </c>
      <c r="G107" s="97" t="n">
        <f aca="false">SUMPRODUCT($C$83:$I$83,--(INDEX('Programme de vols'!$D$49:$J$513,170,0)&lt;&gt;""))+SUMIFS('Programme de vols'!$E$521:$E$560,'Programme de vols'!$C$521:$C$560,"MRURUN",'Programme de vols'!$D$521:$D$560,"778",'Programme de vols'!$B$521:$B$560,"&gt;="&amp;$J$83,'Programme de vols'!$B$521:$B$560,"&lt;="&amp;$K$83)</f>
        <v>0</v>
      </c>
      <c r="H107" s="97" t="n">
        <f aca="false">SUMPRODUCT($C$84:$I$84,--(INDEX('Programme de vols'!$D$49:$J$513,209,0)&lt;&gt;""))+SUMIFS('Programme de vols'!$E$521:$E$560,'Programme de vols'!$C$521:$C$560,"MRURUN",'Programme de vols'!$D$521:$D$560,"778",'Programme de vols'!$B$521:$B$560,"&gt;="&amp;$J$84,'Programme de vols'!$B$521:$B$560,"&lt;="&amp;$K$84)</f>
        <v>0</v>
      </c>
      <c r="I107" s="97" t="n">
        <f aca="false">SUMPRODUCT($C$85:$I$85,--(INDEX('Programme de vols'!$D$49:$J$513,248,0)&lt;&gt;""))+SUMIFS('Programme de vols'!$E$521:$E$560,'Programme de vols'!$C$521:$C$560,"MRURUN",'Programme de vols'!$D$521:$D$560,"778",'Programme de vols'!$B$521:$B$560,"&gt;="&amp;$J$85,'Programme de vols'!$B$521:$B$560,"&lt;="&amp;$K$85)</f>
        <v>0</v>
      </c>
      <c r="J107" s="97" t="n">
        <f aca="false">SUMPRODUCT($C$86:$I$86,--(INDEX('Programme de vols'!$D$49:$J$513,287,0)&lt;&gt;""))+SUMIFS('Programme de vols'!$E$521:$E$560,'Programme de vols'!$C$521:$C$560,"MRURUN",'Programme de vols'!$D$521:$D$560,"778",'Programme de vols'!$B$521:$B$560,"&gt;="&amp;$J$86,'Programme de vols'!$B$521:$B$560,"&lt;="&amp;$K$86)</f>
        <v>0</v>
      </c>
      <c r="K107" s="97" t="n">
        <f aca="false">SUMPRODUCT($C$87:$I$87,--(INDEX('Programme de vols'!$D$49:$J$513,326,0)&lt;&gt;""))+SUMIFS('Programme de vols'!$E$521:$E$560,'Programme de vols'!$C$521:$C$560,"MRURUN",'Programme de vols'!$D$521:$D$560,"778",'Programme de vols'!$B$521:$B$560,"&gt;="&amp;$J$87,'Programme de vols'!$B$521:$B$560,"&lt;="&amp;$K$87)</f>
        <v>0</v>
      </c>
      <c r="L107" s="97" t="n">
        <f aca="false">SUMPRODUCT($C$88:$I$88,--(INDEX('Programme de vols'!$D$49:$J$513,365,0)&lt;&gt;""))+SUMIFS('Programme de vols'!$E$521:$E$560,'Programme de vols'!$C$521:$C$560,"MRURUN",'Programme de vols'!$D$521:$D$560,"778",'Programme de vols'!$B$521:$B$560,"&gt;="&amp;$J$88,'Programme de vols'!$B$521:$B$560,"&lt;="&amp;$K$88)</f>
        <v>0</v>
      </c>
      <c r="M107" s="97" t="n">
        <f aca="false">SUMPRODUCT($C$89:$I$89,--(INDEX('Programme de vols'!$D$49:$J$513,404,0)&lt;&gt;""))+SUMIFS('Programme de vols'!$E$521:$E$560,'Programme de vols'!$C$521:$C$560,"MRURUN",'Programme de vols'!$D$521:$D$560,"778",'Programme de vols'!$B$521:$B$560,"&gt;="&amp;$J$89,'Programme de vols'!$B$521:$B$560,"&lt;="&amp;$K$89)</f>
        <v>0</v>
      </c>
      <c r="N107" s="97" t="n">
        <f aca="false">SUMPRODUCT($C$90:$I$90,--(INDEX('Programme de vols'!$D$49:$J$513,443,0)&lt;&gt;""))+SUMIFS('Programme de vols'!$E$521:$E$560,'Programme de vols'!$C$521:$C$560,"MRURUN",'Programme de vols'!$D$521:$D$560,"778",'Programme de vols'!$B$521:$B$560,"&gt;="&amp;$J$90,'Programme de vols'!$B$521:$B$560,"&lt;="&amp;$K$90)</f>
        <v>0</v>
      </c>
      <c r="O107" s="12" t="s">
        <v>39</v>
      </c>
      <c r="P107" s="12" t="s">
        <v>18</v>
      </c>
    </row>
    <row r="108" customFormat="false" ht="15" hidden="false" customHeight="false" outlineLevel="0" collapsed="false">
      <c r="B108" s="10" t="s">
        <v>107</v>
      </c>
      <c r="C108" s="97" t="n">
        <f aca="false">SUMPRODUCT($C$79:$I$79,--(INDEX('Programme de vols'!$D$49:$J$513,15,0)&lt;&gt;""))+SUMIFS('Programme de vols'!$E$521:$E$560,'Programme de vols'!$C$521:$C$560,"MRURUN",'Programme de vols'!$D$521:$D$560,"A320",'Programme de vols'!$B$521:$B$560,"&gt;="&amp;$J$79,'Programme de vols'!$B$521:$B$560,"&lt;="&amp;$K$79)</f>
        <v>17</v>
      </c>
      <c r="D108" s="97" t="n">
        <f aca="false">SUMPRODUCT($C$80:$I$80,--(INDEX('Programme de vols'!$D$49:$J$513,54,0)&lt;&gt;""))+SUMIFS('Programme de vols'!$E$521:$E$560,'Programme de vols'!$C$521:$C$560,"MRURUN",'Programme de vols'!$D$521:$D$560,"A320",'Programme de vols'!$B$521:$B$560,"&gt;="&amp;$J$80,'Programme de vols'!$B$521:$B$560,"&lt;="&amp;$K$80)</f>
        <v>18</v>
      </c>
      <c r="E108" s="97" t="n">
        <f aca="false">SUMPRODUCT($C$81:$I$81,--(INDEX('Programme de vols'!$D$49:$J$513,93,0)&lt;&gt;""))+SUMIFS('Programme de vols'!$E$521:$E$560,'Programme de vols'!$C$521:$C$560,"MRURUN",'Programme de vols'!$D$521:$D$560,"A320",'Programme de vols'!$B$521:$B$560,"&gt;="&amp;$J$81,'Programme de vols'!$B$521:$B$560,"&lt;="&amp;$K$81)</f>
        <v>17</v>
      </c>
      <c r="F108" s="97" t="n">
        <f aca="false">SUMPRODUCT($C$82:$I$82,--(INDEX('Programme de vols'!$D$49:$J$513,132,0)&lt;&gt;""))+SUMIFS('Programme de vols'!$E$521:$E$560,'Programme de vols'!$C$521:$C$560,"MRURUN",'Programme de vols'!$D$521:$D$560,"A320",'Programme de vols'!$B$521:$B$560,"&gt;="&amp;$J$82,'Programme de vols'!$B$521:$B$560,"&lt;="&amp;$K$82)</f>
        <v>17</v>
      </c>
      <c r="G108" s="97" t="n">
        <f aca="false">SUMPRODUCT($C$83:$I$83,--(INDEX('Programme de vols'!$D$49:$J$513,171,0)&lt;&gt;""))+SUMIFS('Programme de vols'!$E$521:$E$560,'Programme de vols'!$C$521:$C$560,"MRURUN",'Programme de vols'!$D$521:$D$560,"A320",'Programme de vols'!$B$521:$B$560,"&gt;="&amp;$J$83,'Programme de vols'!$B$521:$B$560,"&lt;="&amp;$K$83)</f>
        <v>18</v>
      </c>
      <c r="H108" s="97" t="n">
        <f aca="false">SUMPRODUCT($C$84:$I$84,--(INDEX('Programme de vols'!$D$49:$J$513,210,0)&lt;&gt;""))+SUMIFS('Programme de vols'!$E$521:$E$560,'Programme de vols'!$C$521:$C$560,"MRURUN",'Programme de vols'!$D$521:$D$560,"A320",'Programme de vols'!$B$521:$B$560,"&gt;="&amp;$J$84,'Programme de vols'!$B$521:$B$560,"&lt;="&amp;$K$84)</f>
        <v>17</v>
      </c>
      <c r="I108" s="97" t="n">
        <f aca="false">SUMPRODUCT($C$85:$I$85,--(INDEX('Programme de vols'!$D$49:$J$513,249,0)&lt;&gt;""))+SUMIFS('Programme de vols'!$E$521:$E$560,'Programme de vols'!$C$521:$C$560,"MRURUN",'Programme de vols'!$D$521:$D$560,"A320",'Programme de vols'!$B$521:$B$560,"&gt;="&amp;$J$85,'Programme de vols'!$B$521:$B$560,"&lt;="&amp;$K$85)</f>
        <v>18</v>
      </c>
      <c r="J108" s="97" t="n">
        <f aca="false">SUMPRODUCT($C$86:$I$86,--(INDEX('Programme de vols'!$D$49:$J$513,288,0)&lt;&gt;""))+SUMIFS('Programme de vols'!$E$521:$E$560,'Programme de vols'!$C$521:$C$560,"MRURUN",'Programme de vols'!$D$521:$D$560,"A320",'Programme de vols'!$B$521:$B$560,"&gt;="&amp;$J$86,'Programme de vols'!$B$521:$B$560,"&lt;="&amp;$K$86)</f>
        <v>17</v>
      </c>
      <c r="K108" s="97" t="n">
        <f aca="false">SUMPRODUCT($C$87:$I$87,--(INDEX('Programme de vols'!$D$49:$J$513,327,0)&lt;&gt;""))+SUMIFS('Programme de vols'!$E$521:$E$560,'Programme de vols'!$C$521:$C$560,"MRURUN",'Programme de vols'!$D$521:$D$560,"A320",'Programme de vols'!$B$521:$B$560,"&gt;="&amp;$J$87,'Programme de vols'!$B$521:$B$560,"&lt;="&amp;$K$87)</f>
        <v>18</v>
      </c>
      <c r="L108" s="97" t="n">
        <f aca="false">SUMPRODUCT($C$88:$I$88,--(INDEX('Programme de vols'!$D$49:$J$513,366,0)&lt;&gt;""))+SUMIFS('Programme de vols'!$E$521:$E$560,'Programme de vols'!$C$521:$C$560,"MRURUN",'Programme de vols'!$D$521:$D$560,"A320",'Programme de vols'!$B$521:$B$560,"&gt;="&amp;$J$88,'Programme de vols'!$B$521:$B$560,"&lt;="&amp;$K$88)</f>
        <v>18</v>
      </c>
      <c r="M108" s="97" t="n">
        <f aca="false">SUMPRODUCT($C$89:$I$89,--(INDEX('Programme de vols'!$D$49:$J$513,405,0)&lt;&gt;""))+SUMIFS('Programme de vols'!$E$521:$E$560,'Programme de vols'!$C$521:$C$560,"MRURUN",'Programme de vols'!$D$521:$D$560,"A320",'Programme de vols'!$B$521:$B$560,"&gt;="&amp;$J$89,'Programme de vols'!$B$521:$B$560,"&lt;="&amp;$K$89)</f>
        <v>16</v>
      </c>
      <c r="N108" s="97" t="n">
        <f aca="false">SUMPRODUCT($C$90:$I$90,--(INDEX('Programme de vols'!$D$49:$J$513,444,0)&lt;&gt;""))+SUMIFS('Programme de vols'!$E$521:$E$560,'Programme de vols'!$C$521:$C$560,"MRURUN",'Programme de vols'!$D$521:$D$560,"A320",'Programme de vols'!$B$521:$B$560,"&gt;="&amp;$J$90,'Programme de vols'!$B$521:$B$560,"&lt;="&amp;$K$90)</f>
        <v>18</v>
      </c>
      <c r="O108" s="12" t="s">
        <v>39</v>
      </c>
      <c r="P108" s="12" t="s">
        <v>23</v>
      </c>
    </row>
    <row r="109" customFormat="false" ht="15" hidden="false" customHeight="false" outlineLevel="0" collapsed="false">
      <c r="B109" s="10" t="s">
        <v>108</v>
      </c>
      <c r="C109" s="97" t="n">
        <f aca="false">SUMPRODUCT($C$79:$I$79,--(INDEX('Programme de vols'!$D$49:$J$513,16,0)&lt;&gt;""))+SUMIFS('Programme de vols'!$E$521:$E$560,'Programme de vols'!$C$521:$C$560,"NOSRUN",'Programme de vols'!$D$521:$D$560,"77W",'Programme de vols'!$B$521:$B$560,"&gt;="&amp;$J$79,'Programme de vols'!$B$521:$B$560,"&lt;="&amp;$K$79)</f>
        <v>0</v>
      </c>
      <c r="D109" s="97" t="n">
        <f aca="false">SUMPRODUCT($C$80:$I$80,--(INDEX('Programme de vols'!$D$49:$J$513,55,0)&lt;&gt;""))+SUMIFS('Programme de vols'!$E$521:$E$560,'Programme de vols'!$C$521:$C$560,"NOSRUN",'Programme de vols'!$D$521:$D$560,"77W",'Programme de vols'!$B$521:$B$560,"&gt;="&amp;$J$80,'Programme de vols'!$B$521:$B$560,"&lt;="&amp;$K$80)</f>
        <v>0</v>
      </c>
      <c r="E109" s="97" t="n">
        <f aca="false">SUMPRODUCT($C$81:$I$81,--(INDEX('Programme de vols'!$D$49:$J$513,94,0)&lt;&gt;""))+SUMIFS('Programme de vols'!$E$521:$E$560,'Programme de vols'!$C$521:$C$560,"NOSRUN",'Programme de vols'!$D$521:$D$560,"77W",'Programme de vols'!$B$521:$B$560,"&gt;="&amp;$J$81,'Programme de vols'!$B$521:$B$560,"&lt;="&amp;$K$81)</f>
        <v>0</v>
      </c>
      <c r="F109" s="97" t="n">
        <f aca="false">SUMPRODUCT($C$82:$I$82,--(INDEX('Programme de vols'!$D$49:$J$513,133,0)&lt;&gt;""))+SUMIFS('Programme de vols'!$E$521:$E$560,'Programme de vols'!$C$521:$C$560,"NOSRUN",'Programme de vols'!$D$521:$D$560,"77W",'Programme de vols'!$B$521:$B$560,"&gt;="&amp;$J$82,'Programme de vols'!$B$521:$B$560,"&lt;="&amp;$K$82)</f>
        <v>0</v>
      </c>
      <c r="G109" s="97" t="n">
        <f aca="false">SUMPRODUCT($C$83:$I$83,--(INDEX('Programme de vols'!$D$49:$J$513,172,0)&lt;&gt;""))+SUMIFS('Programme de vols'!$E$521:$E$560,'Programme de vols'!$C$521:$C$560,"NOSRUN",'Programme de vols'!$D$521:$D$560,"77W",'Programme de vols'!$B$521:$B$560,"&gt;="&amp;$J$83,'Programme de vols'!$B$521:$B$560,"&lt;="&amp;$K$83)</f>
        <v>0</v>
      </c>
      <c r="H109" s="97" t="n">
        <f aca="false">SUMPRODUCT($C$84:$I$84,--(INDEX('Programme de vols'!$D$49:$J$513,211,0)&lt;&gt;""))+SUMIFS('Programme de vols'!$E$521:$E$560,'Programme de vols'!$C$521:$C$560,"NOSRUN",'Programme de vols'!$D$521:$D$560,"77W",'Programme de vols'!$B$521:$B$560,"&gt;="&amp;$J$84,'Programme de vols'!$B$521:$B$560,"&lt;="&amp;$K$84)</f>
        <v>0</v>
      </c>
      <c r="I109" s="97" t="n">
        <f aca="false">SUMPRODUCT($C$85:$I$85,--(INDEX('Programme de vols'!$D$49:$J$513,250,0)&lt;&gt;""))+SUMIFS('Programme de vols'!$E$521:$E$560,'Programme de vols'!$C$521:$C$560,"NOSRUN",'Programme de vols'!$D$521:$D$560,"77W",'Programme de vols'!$B$521:$B$560,"&gt;="&amp;$J$85,'Programme de vols'!$B$521:$B$560,"&lt;="&amp;$K$85)</f>
        <v>0</v>
      </c>
      <c r="J109" s="97" t="n">
        <f aca="false">SUMPRODUCT($C$86:$I$86,--(INDEX('Programme de vols'!$D$49:$J$513,289,0)&lt;&gt;""))+SUMIFS('Programme de vols'!$E$521:$E$560,'Programme de vols'!$C$521:$C$560,"NOSRUN",'Programme de vols'!$D$521:$D$560,"77W",'Programme de vols'!$B$521:$B$560,"&gt;="&amp;$J$86,'Programme de vols'!$B$521:$B$560,"&lt;="&amp;$K$86)</f>
        <v>0</v>
      </c>
      <c r="K109" s="97" t="n">
        <f aca="false">SUMPRODUCT($C$87:$I$87,--(INDEX('Programme de vols'!$D$49:$J$513,328,0)&lt;&gt;""))+SUMIFS('Programme de vols'!$E$521:$E$560,'Programme de vols'!$C$521:$C$560,"NOSRUN",'Programme de vols'!$D$521:$D$560,"77W",'Programme de vols'!$B$521:$B$560,"&gt;="&amp;$J$87,'Programme de vols'!$B$521:$B$560,"&lt;="&amp;$K$87)</f>
        <v>0</v>
      </c>
      <c r="L109" s="97" t="n">
        <f aca="false">SUMPRODUCT($C$88:$I$88,--(INDEX('Programme de vols'!$D$49:$J$513,367,0)&lt;&gt;""))+SUMIFS('Programme de vols'!$E$521:$E$560,'Programme de vols'!$C$521:$C$560,"NOSRUN",'Programme de vols'!$D$521:$D$560,"77W",'Programme de vols'!$B$521:$B$560,"&gt;="&amp;$J$88,'Programme de vols'!$B$521:$B$560,"&lt;="&amp;$K$88)</f>
        <v>0</v>
      </c>
      <c r="M109" s="97" t="n">
        <f aca="false">SUMPRODUCT($C$89:$I$89,--(INDEX('Programme de vols'!$D$49:$J$513,406,0)&lt;&gt;""))+SUMIFS('Programme de vols'!$E$521:$E$560,'Programme de vols'!$C$521:$C$560,"NOSRUN",'Programme de vols'!$D$521:$D$560,"77W",'Programme de vols'!$B$521:$B$560,"&gt;="&amp;$J$89,'Programme de vols'!$B$521:$B$560,"&lt;="&amp;$K$89)</f>
        <v>0</v>
      </c>
      <c r="N109" s="97" t="n">
        <f aca="false">SUMPRODUCT($C$90:$I$90,--(INDEX('Programme de vols'!$D$49:$J$513,445,0)&lt;&gt;""))+SUMIFS('Programme de vols'!$E$521:$E$560,'Programme de vols'!$C$521:$C$560,"NOSRUN",'Programme de vols'!$D$521:$D$560,"77W",'Programme de vols'!$B$521:$B$560,"&gt;="&amp;$J$90,'Programme de vols'!$B$521:$B$560,"&lt;="&amp;$K$90)</f>
        <v>0</v>
      </c>
      <c r="O109" s="12" t="s">
        <v>14</v>
      </c>
      <c r="P109" s="12" t="s">
        <v>11</v>
      </c>
    </row>
    <row r="110" customFormat="false" ht="15" hidden="false" customHeight="false" outlineLevel="0" collapsed="false">
      <c r="B110" s="10" t="s">
        <v>109</v>
      </c>
      <c r="C110" s="97" t="n">
        <f aca="false">SUMPRODUCT($C$79:$I$79,--(INDEX('Programme de vols'!$D$49:$J$513,17,0)&lt;&gt;""))+SUMIFS('Programme de vols'!$E$521:$E$560,'Programme de vols'!$C$521:$C$560,"NOSRUN",'Programme de vols'!$D$521:$D$560,"778",'Programme de vols'!$B$521:$B$560,"&gt;="&amp;$J$79,'Programme de vols'!$B$521:$B$560,"&lt;="&amp;$K$79)</f>
        <v>0</v>
      </c>
      <c r="D110" s="97" t="n">
        <f aca="false">SUMPRODUCT($C$80:$I$80,--(INDEX('Programme de vols'!$D$49:$J$513,56,0)&lt;&gt;""))+SUMIFS('Programme de vols'!$E$521:$E$560,'Programme de vols'!$C$521:$C$560,"NOSRUN",'Programme de vols'!$D$521:$D$560,"778",'Programme de vols'!$B$521:$B$560,"&gt;="&amp;$J$80,'Programme de vols'!$B$521:$B$560,"&lt;="&amp;$K$80)</f>
        <v>0</v>
      </c>
      <c r="E110" s="97" t="n">
        <f aca="false">SUMPRODUCT($C$81:$I$81,--(INDEX('Programme de vols'!$D$49:$J$513,95,0)&lt;&gt;""))+SUMIFS('Programme de vols'!$E$521:$E$560,'Programme de vols'!$C$521:$C$560,"NOSRUN",'Programme de vols'!$D$521:$D$560,"778",'Programme de vols'!$B$521:$B$560,"&gt;="&amp;$J$81,'Programme de vols'!$B$521:$B$560,"&lt;="&amp;$K$81)</f>
        <v>0</v>
      </c>
      <c r="F110" s="97" t="n">
        <f aca="false">SUMPRODUCT($C$82:$I$82,--(INDEX('Programme de vols'!$D$49:$J$513,134,0)&lt;&gt;""))+SUMIFS('Programme de vols'!$E$521:$E$560,'Programme de vols'!$C$521:$C$560,"NOSRUN",'Programme de vols'!$D$521:$D$560,"778",'Programme de vols'!$B$521:$B$560,"&gt;="&amp;$J$82,'Programme de vols'!$B$521:$B$560,"&lt;="&amp;$K$82)</f>
        <v>0</v>
      </c>
      <c r="G110" s="97" t="n">
        <f aca="false">SUMPRODUCT($C$83:$I$83,--(INDEX('Programme de vols'!$D$49:$J$513,173,0)&lt;&gt;""))+SUMIFS('Programme de vols'!$E$521:$E$560,'Programme de vols'!$C$521:$C$560,"NOSRUN",'Programme de vols'!$D$521:$D$560,"778",'Programme de vols'!$B$521:$B$560,"&gt;="&amp;$J$83,'Programme de vols'!$B$521:$B$560,"&lt;="&amp;$K$83)</f>
        <v>0</v>
      </c>
      <c r="H110" s="97" t="n">
        <f aca="false">SUMPRODUCT($C$84:$I$84,--(INDEX('Programme de vols'!$D$49:$J$513,212,0)&lt;&gt;""))+SUMIFS('Programme de vols'!$E$521:$E$560,'Programme de vols'!$C$521:$C$560,"NOSRUN",'Programme de vols'!$D$521:$D$560,"778",'Programme de vols'!$B$521:$B$560,"&gt;="&amp;$J$84,'Programme de vols'!$B$521:$B$560,"&lt;="&amp;$K$84)</f>
        <v>0</v>
      </c>
      <c r="I110" s="97" t="n">
        <f aca="false">SUMPRODUCT($C$85:$I$85,--(INDEX('Programme de vols'!$D$49:$J$513,251,0)&lt;&gt;""))+SUMIFS('Programme de vols'!$E$521:$E$560,'Programme de vols'!$C$521:$C$560,"NOSRUN",'Programme de vols'!$D$521:$D$560,"778",'Programme de vols'!$B$521:$B$560,"&gt;="&amp;$J$85,'Programme de vols'!$B$521:$B$560,"&lt;="&amp;$K$85)</f>
        <v>0</v>
      </c>
      <c r="J110" s="97" t="n">
        <f aca="false">SUMPRODUCT($C$86:$I$86,--(INDEX('Programme de vols'!$D$49:$J$513,290,0)&lt;&gt;""))+SUMIFS('Programme de vols'!$E$521:$E$560,'Programme de vols'!$C$521:$C$560,"NOSRUN",'Programme de vols'!$D$521:$D$560,"778",'Programme de vols'!$B$521:$B$560,"&gt;="&amp;$J$86,'Programme de vols'!$B$521:$B$560,"&lt;="&amp;$K$86)</f>
        <v>0</v>
      </c>
      <c r="K110" s="97" t="n">
        <f aca="false">SUMPRODUCT($C$87:$I$87,--(INDEX('Programme de vols'!$D$49:$J$513,329,0)&lt;&gt;""))+SUMIFS('Programme de vols'!$E$521:$E$560,'Programme de vols'!$C$521:$C$560,"NOSRUN",'Programme de vols'!$D$521:$D$560,"778",'Programme de vols'!$B$521:$B$560,"&gt;="&amp;$J$87,'Programme de vols'!$B$521:$B$560,"&lt;="&amp;$K$87)</f>
        <v>0</v>
      </c>
      <c r="L110" s="97" t="n">
        <f aca="false">SUMPRODUCT($C$88:$I$88,--(INDEX('Programme de vols'!$D$49:$J$513,368,0)&lt;&gt;""))+SUMIFS('Programme de vols'!$E$521:$E$560,'Programme de vols'!$C$521:$C$560,"NOSRUN",'Programme de vols'!$D$521:$D$560,"778",'Programme de vols'!$B$521:$B$560,"&gt;="&amp;$J$88,'Programme de vols'!$B$521:$B$560,"&lt;="&amp;$K$88)</f>
        <v>0</v>
      </c>
      <c r="M110" s="97" t="n">
        <f aca="false">SUMPRODUCT($C$89:$I$89,--(INDEX('Programme de vols'!$D$49:$J$513,407,0)&lt;&gt;""))+SUMIFS('Programme de vols'!$E$521:$E$560,'Programme de vols'!$C$521:$C$560,"NOSRUN",'Programme de vols'!$D$521:$D$560,"778",'Programme de vols'!$B$521:$B$560,"&gt;="&amp;$J$89,'Programme de vols'!$B$521:$B$560,"&lt;="&amp;$K$89)</f>
        <v>0</v>
      </c>
      <c r="N110" s="97" t="n">
        <f aca="false">SUMPRODUCT($C$90:$I$90,--(INDEX('Programme de vols'!$D$49:$J$513,446,0)&lt;&gt;""))+SUMIFS('Programme de vols'!$E$521:$E$560,'Programme de vols'!$C$521:$C$560,"NOSRUN",'Programme de vols'!$D$521:$D$560,"778",'Programme de vols'!$B$521:$B$560,"&gt;="&amp;$J$90,'Programme de vols'!$B$521:$B$560,"&lt;="&amp;$K$90)</f>
        <v>0</v>
      </c>
      <c r="O110" s="12" t="s">
        <v>14</v>
      </c>
      <c r="P110" s="12" t="s">
        <v>18</v>
      </c>
    </row>
    <row r="111" customFormat="false" ht="15" hidden="false" customHeight="false" outlineLevel="0" collapsed="false">
      <c r="B111" s="10" t="s">
        <v>111</v>
      </c>
      <c r="C111" s="97" t="n">
        <f aca="false">SUMPRODUCT($C$79:$I$79,--(INDEX('Programme de vols'!$D$49:$J$513,18,0)&lt;&gt;""))+SUMIFS('Programme de vols'!$E$521:$E$560,'Programme de vols'!$C$521:$C$560,"NOSRUN",'Programme de vols'!$D$521:$D$560,"A320",'Programme de vols'!$B$521:$B$560,"&gt;="&amp;$J$79,'Programme de vols'!$B$521:$B$560,"&lt;="&amp;$K$79)</f>
        <v>15</v>
      </c>
      <c r="D111" s="97" t="n">
        <f aca="false">SUMPRODUCT($C$80:$I$80,--(INDEX('Programme de vols'!$D$49:$J$513,57,0)&lt;&gt;""))+SUMIFS('Programme de vols'!$E$521:$E$560,'Programme de vols'!$C$521:$C$560,"NOSRUN",'Programme de vols'!$D$521:$D$560,"A320",'Programme de vols'!$B$521:$B$560,"&gt;="&amp;$J$80,'Programme de vols'!$B$521:$B$560,"&lt;="&amp;$K$80)</f>
        <v>14</v>
      </c>
      <c r="E111" s="97" t="n">
        <f aca="false">SUMPRODUCT($C$81:$I$81,--(INDEX('Programme de vols'!$D$49:$J$513,96,0)&lt;&gt;""))+SUMIFS('Programme de vols'!$E$521:$E$560,'Programme de vols'!$C$521:$C$560,"NOSRUN",'Programme de vols'!$D$521:$D$560,"A320",'Programme de vols'!$B$521:$B$560,"&gt;="&amp;$J$81,'Programme de vols'!$B$521:$B$560,"&lt;="&amp;$K$81)</f>
        <v>12</v>
      </c>
      <c r="F111" s="97" t="n">
        <f aca="false">SUMPRODUCT($C$82:$I$82,--(INDEX('Programme de vols'!$D$49:$J$513,135,0)&lt;&gt;""))+SUMIFS('Programme de vols'!$E$521:$E$560,'Programme de vols'!$C$521:$C$560,"NOSRUN",'Programme de vols'!$D$521:$D$560,"A320",'Programme de vols'!$B$521:$B$560,"&gt;="&amp;$J$82,'Programme de vols'!$B$521:$B$560,"&lt;="&amp;$K$82)</f>
        <v>18</v>
      </c>
      <c r="G111" s="97" t="n">
        <f aca="false">SUMPRODUCT($C$83:$I$83,--(INDEX('Programme de vols'!$D$49:$J$513,174,0)&lt;&gt;""))+SUMIFS('Programme de vols'!$E$521:$E$560,'Programme de vols'!$C$521:$C$560,"NOSRUN",'Programme de vols'!$D$521:$D$560,"A320",'Programme de vols'!$B$521:$B$560,"&gt;="&amp;$J$83,'Programme de vols'!$B$521:$B$560,"&lt;="&amp;$K$83)</f>
        <v>13</v>
      </c>
      <c r="H111" s="97" t="n">
        <f aca="false">SUMPRODUCT($C$84:$I$84,--(INDEX('Programme de vols'!$D$49:$J$513,213,0)&lt;&gt;""))+SUMIFS('Programme de vols'!$E$521:$E$560,'Programme de vols'!$C$521:$C$560,"NOSRUN",'Programme de vols'!$D$521:$D$560,"A320",'Programme de vols'!$B$521:$B$560,"&gt;="&amp;$J$84,'Programme de vols'!$B$521:$B$560,"&lt;="&amp;$K$84)</f>
        <v>13</v>
      </c>
      <c r="I111" s="97" t="n">
        <f aca="false">SUMPRODUCT($C$85:$I$85,--(INDEX('Programme de vols'!$D$49:$J$513,252,0)&lt;&gt;""))+SUMIFS('Programme de vols'!$E$521:$E$560,'Programme de vols'!$C$521:$C$560,"NOSRUN",'Programme de vols'!$D$521:$D$560,"A320",'Programme de vols'!$B$521:$B$560,"&gt;="&amp;$J$85,'Programme de vols'!$B$521:$B$560,"&lt;="&amp;$K$85)</f>
        <v>13</v>
      </c>
      <c r="J111" s="97" t="n">
        <f aca="false">SUMPRODUCT($C$86:$I$86,--(INDEX('Programme de vols'!$D$49:$J$513,291,0)&lt;&gt;""))+SUMIFS('Programme de vols'!$E$521:$E$560,'Programme de vols'!$C$521:$C$560,"NOSRUN",'Programme de vols'!$D$521:$D$560,"A320",'Programme de vols'!$B$521:$B$560,"&gt;="&amp;$J$86,'Programme de vols'!$B$521:$B$560,"&lt;="&amp;$K$86)</f>
        <v>13</v>
      </c>
      <c r="K111" s="97" t="n">
        <f aca="false">SUMPRODUCT($C$87:$I$87,--(INDEX('Programme de vols'!$D$49:$J$513,330,0)&lt;&gt;""))+SUMIFS('Programme de vols'!$E$521:$E$560,'Programme de vols'!$C$521:$C$560,"NOSRUN",'Programme de vols'!$D$521:$D$560,"A320",'Programme de vols'!$B$521:$B$560,"&gt;="&amp;$J$87,'Programme de vols'!$B$521:$B$560,"&lt;="&amp;$K$87)</f>
        <v>21</v>
      </c>
      <c r="L111" s="97" t="n">
        <f aca="false">SUMPRODUCT($C$88:$I$88,--(INDEX('Programme de vols'!$D$49:$J$513,369,0)&lt;&gt;""))+SUMIFS('Programme de vols'!$E$521:$E$560,'Programme de vols'!$C$521:$C$560,"NOSRUN",'Programme de vols'!$D$521:$D$560,"A320",'Programme de vols'!$B$521:$B$560,"&gt;="&amp;$J$88,'Programme de vols'!$B$521:$B$560,"&lt;="&amp;$K$88)</f>
        <v>14</v>
      </c>
      <c r="M111" s="97" t="n">
        <f aca="false">SUMPRODUCT($C$89:$I$89,--(INDEX('Programme de vols'!$D$49:$J$513,408,0)&lt;&gt;""))+SUMIFS('Programme de vols'!$E$521:$E$560,'Programme de vols'!$C$521:$C$560,"NOSRUN",'Programme de vols'!$D$521:$D$560,"A320",'Programme de vols'!$B$521:$B$560,"&gt;="&amp;$J$89,'Programme de vols'!$B$521:$B$560,"&lt;="&amp;$K$89)</f>
        <v>12</v>
      </c>
      <c r="N111" s="97" t="n">
        <f aca="false">SUMPRODUCT($C$90:$I$90,--(INDEX('Programme de vols'!$D$49:$J$513,447,0)&lt;&gt;""))+SUMIFS('Programme de vols'!$E$521:$E$560,'Programme de vols'!$C$521:$C$560,"NOSRUN",'Programme de vols'!$D$521:$D$560,"A320",'Programme de vols'!$B$521:$B$560,"&gt;="&amp;$J$90,'Programme de vols'!$B$521:$B$560,"&lt;="&amp;$K$90)</f>
        <v>13</v>
      </c>
      <c r="O111" s="12" t="s">
        <v>14</v>
      </c>
      <c r="P111" s="12" t="s">
        <v>23</v>
      </c>
    </row>
    <row r="112" customFormat="false" ht="15" hidden="false" customHeight="false" outlineLevel="0" collapsed="false">
      <c r="B112" s="10" t="s">
        <v>113</v>
      </c>
      <c r="C112" s="97" t="n">
        <f aca="false">SUMPRODUCT($C$79:$I$79,--(INDEX('Programme de vols'!$D$49:$J$513,19,0)&lt;&gt;""))+SUMIFS('Programme de vols'!$E$521:$E$560,'Programme de vols'!$C$521:$C$560,"RUNTNR",'Programme de vols'!$D$521:$D$560,"77W",'Programme de vols'!$B$521:$B$560,"&gt;="&amp;$J$79,'Programme de vols'!$B$521:$B$560,"&lt;="&amp;$K$79)</f>
        <v>0</v>
      </c>
      <c r="D112" s="97" t="n">
        <f aca="false">SUMPRODUCT($C$80:$I$80,--(INDEX('Programme de vols'!$D$49:$J$513,58,0)&lt;&gt;""))+SUMIFS('Programme de vols'!$E$521:$E$560,'Programme de vols'!$C$521:$C$560,"RUNTNR",'Programme de vols'!$D$521:$D$560,"77W",'Programme de vols'!$B$521:$B$560,"&gt;="&amp;$J$80,'Programme de vols'!$B$521:$B$560,"&lt;="&amp;$K$80)</f>
        <v>0</v>
      </c>
      <c r="E112" s="97" t="n">
        <f aca="false">SUMPRODUCT($C$81:$I$81,--(INDEX('Programme de vols'!$D$49:$J$513,97,0)&lt;&gt;""))+SUMIFS('Programme de vols'!$E$521:$E$560,'Programme de vols'!$C$521:$C$560,"RUNTNR",'Programme de vols'!$D$521:$D$560,"77W",'Programme de vols'!$B$521:$B$560,"&gt;="&amp;$J$81,'Programme de vols'!$B$521:$B$560,"&lt;="&amp;$K$81)</f>
        <v>0</v>
      </c>
      <c r="F112" s="97" t="n">
        <f aca="false">SUMPRODUCT($C$82:$I$82,--(INDEX('Programme de vols'!$D$49:$J$513,136,0)&lt;&gt;""))+SUMIFS('Programme de vols'!$E$521:$E$560,'Programme de vols'!$C$521:$C$560,"RUNTNR",'Programme de vols'!$D$521:$D$560,"77W",'Programme de vols'!$B$521:$B$560,"&gt;="&amp;$J$82,'Programme de vols'!$B$521:$B$560,"&lt;="&amp;$K$82)</f>
        <v>0</v>
      </c>
      <c r="G112" s="97" t="n">
        <f aca="false">SUMPRODUCT($C$83:$I$83,--(INDEX('Programme de vols'!$D$49:$J$513,175,0)&lt;&gt;""))+SUMIFS('Programme de vols'!$E$521:$E$560,'Programme de vols'!$C$521:$C$560,"RUNTNR",'Programme de vols'!$D$521:$D$560,"77W",'Programme de vols'!$B$521:$B$560,"&gt;="&amp;$J$83,'Programme de vols'!$B$521:$B$560,"&lt;="&amp;$K$83)</f>
        <v>0</v>
      </c>
      <c r="H112" s="97" t="n">
        <f aca="false">SUMPRODUCT($C$84:$I$84,--(INDEX('Programme de vols'!$D$49:$J$513,214,0)&lt;&gt;""))+SUMIFS('Programme de vols'!$E$521:$E$560,'Programme de vols'!$C$521:$C$560,"RUNTNR",'Programme de vols'!$D$521:$D$560,"77W",'Programme de vols'!$B$521:$B$560,"&gt;="&amp;$J$84,'Programme de vols'!$B$521:$B$560,"&lt;="&amp;$K$84)</f>
        <v>0</v>
      </c>
      <c r="I112" s="97" t="n">
        <f aca="false">SUMPRODUCT($C$85:$I$85,--(INDEX('Programme de vols'!$D$49:$J$513,253,0)&lt;&gt;""))+SUMIFS('Programme de vols'!$E$521:$E$560,'Programme de vols'!$C$521:$C$560,"RUNTNR",'Programme de vols'!$D$521:$D$560,"77W",'Programme de vols'!$B$521:$B$560,"&gt;="&amp;$J$85,'Programme de vols'!$B$521:$B$560,"&lt;="&amp;$K$85)</f>
        <v>0</v>
      </c>
      <c r="J112" s="97" t="n">
        <f aca="false">SUMPRODUCT($C$86:$I$86,--(INDEX('Programme de vols'!$D$49:$J$513,292,0)&lt;&gt;""))+SUMIFS('Programme de vols'!$E$521:$E$560,'Programme de vols'!$C$521:$C$560,"RUNTNR",'Programme de vols'!$D$521:$D$560,"77W",'Programme de vols'!$B$521:$B$560,"&gt;="&amp;$J$86,'Programme de vols'!$B$521:$B$560,"&lt;="&amp;$K$86)</f>
        <v>0</v>
      </c>
      <c r="K112" s="97" t="n">
        <f aca="false">SUMPRODUCT($C$87:$I$87,--(INDEX('Programme de vols'!$D$49:$J$513,331,0)&lt;&gt;""))+SUMIFS('Programme de vols'!$E$521:$E$560,'Programme de vols'!$C$521:$C$560,"RUNTNR",'Programme de vols'!$D$521:$D$560,"77W",'Programme de vols'!$B$521:$B$560,"&gt;="&amp;$J$87,'Programme de vols'!$B$521:$B$560,"&lt;="&amp;$K$87)</f>
        <v>0</v>
      </c>
      <c r="L112" s="97" t="n">
        <f aca="false">SUMPRODUCT($C$88:$I$88,--(INDEX('Programme de vols'!$D$49:$J$513,370,0)&lt;&gt;""))+SUMIFS('Programme de vols'!$E$521:$E$560,'Programme de vols'!$C$521:$C$560,"RUNTNR",'Programme de vols'!$D$521:$D$560,"77W",'Programme de vols'!$B$521:$B$560,"&gt;="&amp;$J$88,'Programme de vols'!$B$521:$B$560,"&lt;="&amp;$K$88)</f>
        <v>0</v>
      </c>
      <c r="M112" s="97" t="n">
        <f aca="false">SUMPRODUCT($C$89:$I$89,--(INDEX('Programme de vols'!$D$49:$J$513,409,0)&lt;&gt;""))+SUMIFS('Programme de vols'!$E$521:$E$560,'Programme de vols'!$C$521:$C$560,"RUNTNR",'Programme de vols'!$D$521:$D$560,"77W",'Programme de vols'!$B$521:$B$560,"&gt;="&amp;$J$89,'Programme de vols'!$B$521:$B$560,"&lt;="&amp;$K$89)</f>
        <v>0</v>
      </c>
      <c r="N112" s="97" t="n">
        <f aca="false">SUMPRODUCT($C$90:$I$90,--(INDEX('Programme de vols'!$D$49:$J$513,448,0)&lt;&gt;""))+SUMIFS('Programme de vols'!$E$521:$E$560,'Programme de vols'!$C$521:$C$560,"RUNTNR",'Programme de vols'!$D$521:$D$560,"77W",'Programme de vols'!$B$521:$B$560,"&gt;="&amp;$J$90,'Programme de vols'!$B$521:$B$560,"&lt;="&amp;$K$90)</f>
        <v>0</v>
      </c>
      <c r="O112" s="12" t="s">
        <v>45</v>
      </c>
      <c r="P112" s="12" t="s">
        <v>11</v>
      </c>
    </row>
    <row r="113" customFormat="false" ht="15" hidden="false" customHeight="false" outlineLevel="0" collapsed="false">
      <c r="B113" s="10" t="s">
        <v>114</v>
      </c>
      <c r="C113" s="97" t="n">
        <f aca="false">SUMPRODUCT($C$79:$I$79,--(INDEX('Programme de vols'!$D$49:$J$513,20,0)&lt;&gt;""))+SUMIFS('Programme de vols'!$E$521:$E$560,'Programme de vols'!$C$521:$C$560,"RUNTNR",'Programme de vols'!$D$521:$D$560,"778",'Programme de vols'!$B$521:$B$560,"&gt;="&amp;$J$79,'Programme de vols'!$B$521:$B$560,"&lt;="&amp;$K$79)</f>
        <v>0</v>
      </c>
      <c r="D113" s="97" t="n">
        <f aca="false">SUMPRODUCT($C$80:$I$80,--(INDEX('Programme de vols'!$D$49:$J$513,59,0)&lt;&gt;""))+SUMIFS('Programme de vols'!$E$521:$E$560,'Programme de vols'!$C$521:$C$560,"RUNTNR",'Programme de vols'!$D$521:$D$560,"778",'Programme de vols'!$B$521:$B$560,"&gt;="&amp;$J$80,'Programme de vols'!$B$521:$B$560,"&lt;="&amp;$K$80)</f>
        <v>0</v>
      </c>
      <c r="E113" s="97" t="n">
        <f aca="false">SUMPRODUCT($C$81:$I$81,--(INDEX('Programme de vols'!$D$49:$J$513,98,0)&lt;&gt;""))+SUMIFS('Programme de vols'!$E$521:$E$560,'Programme de vols'!$C$521:$C$560,"RUNTNR",'Programme de vols'!$D$521:$D$560,"778",'Programme de vols'!$B$521:$B$560,"&gt;="&amp;$J$81,'Programme de vols'!$B$521:$B$560,"&lt;="&amp;$K$81)</f>
        <v>0</v>
      </c>
      <c r="F113" s="97" t="n">
        <f aca="false">SUMPRODUCT($C$82:$I$82,--(INDEX('Programme de vols'!$D$49:$J$513,137,0)&lt;&gt;""))+SUMIFS('Programme de vols'!$E$521:$E$560,'Programme de vols'!$C$521:$C$560,"RUNTNR",'Programme de vols'!$D$521:$D$560,"778",'Programme de vols'!$B$521:$B$560,"&gt;="&amp;$J$82,'Programme de vols'!$B$521:$B$560,"&lt;="&amp;$K$82)</f>
        <v>0</v>
      </c>
      <c r="G113" s="97" t="n">
        <f aca="false">SUMPRODUCT($C$83:$I$83,--(INDEX('Programme de vols'!$D$49:$J$513,176,0)&lt;&gt;""))+SUMIFS('Programme de vols'!$E$521:$E$560,'Programme de vols'!$C$521:$C$560,"RUNTNR",'Programme de vols'!$D$521:$D$560,"778",'Programme de vols'!$B$521:$B$560,"&gt;="&amp;$J$83,'Programme de vols'!$B$521:$B$560,"&lt;="&amp;$K$83)</f>
        <v>0</v>
      </c>
      <c r="H113" s="97" t="n">
        <f aca="false">SUMPRODUCT($C$84:$I$84,--(INDEX('Programme de vols'!$D$49:$J$513,215,0)&lt;&gt;""))+SUMIFS('Programme de vols'!$E$521:$E$560,'Programme de vols'!$C$521:$C$560,"RUNTNR",'Programme de vols'!$D$521:$D$560,"778",'Programme de vols'!$B$521:$B$560,"&gt;="&amp;$J$84,'Programme de vols'!$B$521:$B$560,"&lt;="&amp;$K$84)</f>
        <v>0</v>
      </c>
      <c r="I113" s="97" t="n">
        <f aca="false">SUMPRODUCT($C$85:$I$85,--(INDEX('Programme de vols'!$D$49:$J$513,254,0)&lt;&gt;""))+SUMIFS('Programme de vols'!$E$521:$E$560,'Programme de vols'!$C$521:$C$560,"RUNTNR",'Programme de vols'!$D$521:$D$560,"778",'Programme de vols'!$B$521:$B$560,"&gt;="&amp;$J$85,'Programme de vols'!$B$521:$B$560,"&lt;="&amp;$K$85)</f>
        <v>0</v>
      </c>
      <c r="J113" s="97" t="n">
        <f aca="false">SUMPRODUCT($C$86:$I$86,--(INDEX('Programme de vols'!$D$49:$J$513,293,0)&lt;&gt;""))+SUMIFS('Programme de vols'!$E$521:$E$560,'Programme de vols'!$C$521:$C$560,"RUNTNR",'Programme de vols'!$D$521:$D$560,"778",'Programme de vols'!$B$521:$B$560,"&gt;="&amp;$J$86,'Programme de vols'!$B$521:$B$560,"&lt;="&amp;$K$86)</f>
        <v>0</v>
      </c>
      <c r="K113" s="97" t="n">
        <f aca="false">SUMPRODUCT($C$87:$I$87,--(INDEX('Programme de vols'!$D$49:$J$513,332,0)&lt;&gt;""))+SUMIFS('Programme de vols'!$E$521:$E$560,'Programme de vols'!$C$521:$C$560,"RUNTNR",'Programme de vols'!$D$521:$D$560,"778",'Programme de vols'!$B$521:$B$560,"&gt;="&amp;$J$87,'Programme de vols'!$B$521:$B$560,"&lt;="&amp;$K$87)</f>
        <v>0</v>
      </c>
      <c r="L113" s="97" t="n">
        <f aca="false">SUMPRODUCT($C$88:$I$88,--(INDEX('Programme de vols'!$D$49:$J$513,371,0)&lt;&gt;""))+SUMIFS('Programme de vols'!$E$521:$E$560,'Programme de vols'!$C$521:$C$560,"RUNTNR",'Programme de vols'!$D$521:$D$560,"778",'Programme de vols'!$B$521:$B$560,"&gt;="&amp;$J$88,'Programme de vols'!$B$521:$B$560,"&lt;="&amp;$K$88)</f>
        <v>0</v>
      </c>
      <c r="M113" s="97" t="n">
        <f aca="false">SUMPRODUCT($C$89:$I$89,--(INDEX('Programme de vols'!$D$49:$J$513,410,0)&lt;&gt;""))+SUMIFS('Programme de vols'!$E$521:$E$560,'Programme de vols'!$C$521:$C$560,"RUNTNR",'Programme de vols'!$D$521:$D$560,"778",'Programme de vols'!$B$521:$B$560,"&gt;="&amp;$J$89,'Programme de vols'!$B$521:$B$560,"&lt;="&amp;$K$89)</f>
        <v>0</v>
      </c>
      <c r="N113" s="97" t="n">
        <f aca="false">SUMPRODUCT($C$90:$I$90,--(INDEX('Programme de vols'!$D$49:$J$513,449,0)&lt;&gt;""))+SUMIFS('Programme de vols'!$E$521:$E$560,'Programme de vols'!$C$521:$C$560,"RUNTNR",'Programme de vols'!$D$521:$D$560,"778",'Programme de vols'!$B$521:$B$560,"&gt;="&amp;$J$90,'Programme de vols'!$B$521:$B$560,"&lt;="&amp;$K$90)</f>
        <v>0</v>
      </c>
      <c r="O113" s="12" t="s">
        <v>45</v>
      </c>
      <c r="P113" s="12" t="s">
        <v>18</v>
      </c>
    </row>
    <row r="114" customFormat="false" ht="15" hidden="false" customHeight="false" outlineLevel="0" collapsed="false">
      <c r="B114" s="10" t="s">
        <v>116</v>
      </c>
      <c r="C114" s="97" t="n">
        <f aca="false">SUMPRODUCT($C$79:$I$79,--(INDEX('Programme de vols'!$D$49:$J$513,21,0)&lt;&gt;""))+SUMIFS('Programme de vols'!$E$521:$E$560,'Programme de vols'!$C$521:$C$560,"RUNTNR",'Programme de vols'!$D$521:$D$560,"A320",'Programme de vols'!$B$521:$B$560,"&gt;="&amp;$J$79,'Programme de vols'!$B$521:$B$560,"&lt;="&amp;$K$79)</f>
        <v>13</v>
      </c>
      <c r="D114" s="97" t="n">
        <f aca="false">SUMPRODUCT($C$80:$I$80,--(INDEX('Programme de vols'!$D$49:$J$513,60,0)&lt;&gt;""))+SUMIFS('Programme de vols'!$E$521:$E$560,'Programme de vols'!$C$521:$C$560,"RUNTNR",'Programme de vols'!$D$521:$D$560,"A320",'Programme de vols'!$B$521:$B$560,"&gt;="&amp;$J$80,'Programme de vols'!$B$521:$B$560,"&lt;="&amp;$K$80)</f>
        <v>13</v>
      </c>
      <c r="E114" s="97" t="n">
        <f aca="false">SUMPRODUCT($C$81:$I$81,--(INDEX('Programme de vols'!$D$49:$J$513,99,0)&lt;&gt;""))+SUMIFS('Programme de vols'!$E$521:$E$560,'Programme de vols'!$C$521:$C$560,"RUNTNR",'Programme de vols'!$D$521:$D$560,"A320",'Programme de vols'!$B$521:$B$560,"&gt;="&amp;$J$81,'Programme de vols'!$B$521:$B$560,"&lt;="&amp;$K$81)</f>
        <v>13</v>
      </c>
      <c r="F114" s="97" t="n">
        <f aca="false">SUMPRODUCT($C$82:$I$82,--(INDEX('Programme de vols'!$D$49:$J$513,138,0)&lt;&gt;""))+SUMIFS('Programme de vols'!$E$521:$E$560,'Programme de vols'!$C$521:$C$560,"RUNTNR",'Programme de vols'!$D$521:$D$560,"A320",'Programme de vols'!$B$521:$B$560,"&gt;="&amp;$J$82,'Programme de vols'!$B$521:$B$560,"&lt;="&amp;$K$82)</f>
        <v>14</v>
      </c>
      <c r="G114" s="97" t="n">
        <f aca="false">SUMPRODUCT($C$83:$I$83,--(INDEX('Programme de vols'!$D$49:$J$513,177,0)&lt;&gt;""))+SUMIFS('Programme de vols'!$E$521:$E$560,'Programme de vols'!$C$521:$C$560,"RUNTNR",'Programme de vols'!$D$521:$D$560,"A320",'Programme de vols'!$B$521:$B$560,"&gt;="&amp;$J$83,'Programme de vols'!$B$521:$B$560,"&lt;="&amp;$K$83)</f>
        <v>13</v>
      </c>
      <c r="H114" s="97" t="n">
        <f aca="false">SUMPRODUCT($C$84:$I$84,--(INDEX('Programme de vols'!$D$49:$J$513,216,0)&lt;&gt;""))+SUMIFS('Programme de vols'!$E$521:$E$560,'Programme de vols'!$C$521:$C$560,"RUNTNR",'Programme de vols'!$D$521:$D$560,"A320",'Programme de vols'!$B$521:$B$560,"&gt;="&amp;$J$84,'Programme de vols'!$B$521:$B$560,"&lt;="&amp;$K$84)</f>
        <v>13</v>
      </c>
      <c r="I114" s="97" t="n">
        <f aca="false">SUMPRODUCT($C$85:$I$85,--(INDEX('Programme de vols'!$D$49:$J$513,255,0)&lt;&gt;""))+SUMIFS('Programme de vols'!$E$521:$E$560,'Programme de vols'!$C$521:$C$560,"RUNTNR",'Programme de vols'!$D$521:$D$560,"A320",'Programme de vols'!$B$521:$B$560,"&gt;="&amp;$J$85,'Programme de vols'!$B$521:$B$560,"&lt;="&amp;$K$85)</f>
        <v>13</v>
      </c>
      <c r="J114" s="97" t="n">
        <f aca="false">SUMPRODUCT($C$86:$I$86,--(INDEX('Programme de vols'!$D$49:$J$513,294,0)&lt;&gt;""))+SUMIFS('Programme de vols'!$E$521:$E$560,'Programme de vols'!$C$521:$C$560,"RUNTNR",'Programme de vols'!$D$521:$D$560,"A320",'Programme de vols'!$B$521:$B$560,"&gt;="&amp;$J$86,'Programme de vols'!$B$521:$B$560,"&lt;="&amp;$K$86)</f>
        <v>13</v>
      </c>
      <c r="K114" s="97" t="n">
        <f aca="false">SUMPRODUCT($C$87:$I$87,--(INDEX('Programme de vols'!$D$49:$J$513,333,0)&lt;&gt;""))+SUMIFS('Programme de vols'!$E$521:$E$560,'Programme de vols'!$C$521:$C$560,"RUNTNR",'Programme de vols'!$D$521:$D$560,"A320",'Programme de vols'!$B$521:$B$560,"&gt;="&amp;$J$87,'Programme de vols'!$B$521:$B$560,"&lt;="&amp;$K$87)</f>
        <v>13</v>
      </c>
      <c r="L114" s="97" t="n">
        <f aca="false">SUMPRODUCT($C$88:$I$88,--(INDEX('Programme de vols'!$D$49:$J$513,372,0)&lt;&gt;""))+SUMIFS('Programme de vols'!$E$521:$E$560,'Programme de vols'!$C$521:$C$560,"RUNTNR",'Programme de vols'!$D$521:$D$560,"A320",'Programme de vols'!$B$521:$B$560,"&gt;="&amp;$J$88,'Programme de vols'!$B$521:$B$560,"&lt;="&amp;$K$88)</f>
        <v>13</v>
      </c>
      <c r="M114" s="97" t="n">
        <f aca="false">SUMPRODUCT($C$89:$I$89,--(INDEX('Programme de vols'!$D$49:$J$513,411,0)&lt;&gt;""))+SUMIFS('Programme de vols'!$E$521:$E$560,'Programme de vols'!$C$521:$C$560,"RUNTNR",'Programme de vols'!$D$521:$D$560,"A320",'Programme de vols'!$B$521:$B$560,"&gt;="&amp;$J$89,'Programme de vols'!$B$521:$B$560,"&lt;="&amp;$K$89)</f>
        <v>13</v>
      </c>
      <c r="N114" s="97" t="n">
        <f aca="false">SUMPRODUCT($C$90:$I$90,--(INDEX('Programme de vols'!$D$49:$J$513,450,0)&lt;&gt;""))+SUMIFS('Programme de vols'!$E$521:$E$560,'Programme de vols'!$C$521:$C$560,"RUNTNR",'Programme de vols'!$D$521:$D$560,"A320",'Programme de vols'!$B$521:$B$560,"&gt;="&amp;$J$90,'Programme de vols'!$B$521:$B$560,"&lt;="&amp;$K$90)</f>
        <v>13</v>
      </c>
      <c r="O114" s="12" t="s">
        <v>45</v>
      </c>
      <c r="P114" s="12" t="s">
        <v>23</v>
      </c>
    </row>
    <row r="115" customFormat="false" ht="15" hidden="false" customHeight="false" outlineLevel="0" collapsed="false">
      <c r="B115" s="10" t="s">
        <v>118</v>
      </c>
      <c r="C115" s="97" t="n">
        <f aca="false">SUMPRODUCT($C$79:$I$79,--(INDEX('Programme de vols'!$D$49:$J$513,22,0)&lt;&gt;""))+SUMIFS('Programme de vols'!$E$521:$E$560,'Programme de vols'!$C$521:$C$560,"JNBRUN",'Programme de vols'!$D$521:$D$560,"77W",'Programme de vols'!$B$521:$B$560,"&gt;="&amp;$J$79,'Programme de vols'!$B$521:$B$560,"&lt;="&amp;$K$79)</f>
        <v>0</v>
      </c>
      <c r="D115" s="97" t="n">
        <f aca="false">SUMPRODUCT($C$80:$I$80,--(INDEX('Programme de vols'!$D$49:$J$513,61,0)&lt;&gt;""))+SUMIFS('Programme de vols'!$E$521:$E$560,'Programme de vols'!$C$521:$C$560,"JNBRUN",'Programme de vols'!$D$521:$D$560,"77W",'Programme de vols'!$B$521:$B$560,"&gt;="&amp;$J$80,'Programme de vols'!$B$521:$B$560,"&lt;="&amp;$K$80)</f>
        <v>0</v>
      </c>
      <c r="E115" s="97" t="n">
        <f aca="false">SUMPRODUCT($C$81:$I$81,--(INDEX('Programme de vols'!$D$49:$J$513,100,0)&lt;&gt;""))+SUMIFS('Programme de vols'!$E$521:$E$560,'Programme de vols'!$C$521:$C$560,"JNBRUN",'Programme de vols'!$D$521:$D$560,"77W",'Programme de vols'!$B$521:$B$560,"&gt;="&amp;$J$81,'Programme de vols'!$B$521:$B$560,"&lt;="&amp;$K$81)</f>
        <v>0</v>
      </c>
      <c r="F115" s="97" t="n">
        <f aca="false">SUMPRODUCT($C$82:$I$82,--(INDEX('Programme de vols'!$D$49:$J$513,139,0)&lt;&gt;""))+SUMIFS('Programme de vols'!$E$521:$E$560,'Programme de vols'!$C$521:$C$560,"JNBRUN",'Programme de vols'!$D$521:$D$560,"77W",'Programme de vols'!$B$521:$B$560,"&gt;="&amp;$J$82,'Programme de vols'!$B$521:$B$560,"&lt;="&amp;$K$82)</f>
        <v>0</v>
      </c>
      <c r="G115" s="97" t="n">
        <f aca="false">SUMPRODUCT($C$83:$I$83,--(INDEX('Programme de vols'!$D$49:$J$513,178,0)&lt;&gt;""))+SUMIFS('Programme de vols'!$E$521:$E$560,'Programme de vols'!$C$521:$C$560,"JNBRUN",'Programme de vols'!$D$521:$D$560,"77W",'Programme de vols'!$B$521:$B$560,"&gt;="&amp;$J$83,'Programme de vols'!$B$521:$B$560,"&lt;="&amp;$K$83)</f>
        <v>0</v>
      </c>
      <c r="H115" s="97" t="n">
        <f aca="false">SUMPRODUCT($C$84:$I$84,--(INDEX('Programme de vols'!$D$49:$J$513,217,0)&lt;&gt;""))+SUMIFS('Programme de vols'!$E$521:$E$560,'Programme de vols'!$C$521:$C$560,"JNBRUN",'Programme de vols'!$D$521:$D$560,"77W",'Programme de vols'!$B$521:$B$560,"&gt;="&amp;$J$84,'Programme de vols'!$B$521:$B$560,"&lt;="&amp;$K$84)</f>
        <v>0</v>
      </c>
      <c r="I115" s="97" t="n">
        <f aca="false">SUMPRODUCT($C$85:$I$85,--(INDEX('Programme de vols'!$D$49:$J$513,256,0)&lt;&gt;""))+SUMIFS('Programme de vols'!$E$521:$E$560,'Programme de vols'!$C$521:$C$560,"JNBRUN",'Programme de vols'!$D$521:$D$560,"77W",'Programme de vols'!$B$521:$B$560,"&gt;="&amp;$J$85,'Programme de vols'!$B$521:$B$560,"&lt;="&amp;$K$85)</f>
        <v>0</v>
      </c>
      <c r="J115" s="97" t="n">
        <f aca="false">SUMPRODUCT($C$86:$I$86,--(INDEX('Programme de vols'!$D$49:$J$513,295,0)&lt;&gt;""))+SUMIFS('Programme de vols'!$E$521:$E$560,'Programme de vols'!$C$521:$C$560,"JNBRUN",'Programme de vols'!$D$521:$D$560,"77W",'Programme de vols'!$B$521:$B$560,"&gt;="&amp;$J$86,'Programme de vols'!$B$521:$B$560,"&lt;="&amp;$K$86)</f>
        <v>0</v>
      </c>
      <c r="K115" s="97" t="n">
        <f aca="false">SUMPRODUCT($C$87:$I$87,--(INDEX('Programme de vols'!$D$49:$J$513,334,0)&lt;&gt;""))+SUMIFS('Programme de vols'!$E$521:$E$560,'Programme de vols'!$C$521:$C$560,"JNBRUN",'Programme de vols'!$D$521:$D$560,"77W",'Programme de vols'!$B$521:$B$560,"&gt;="&amp;$J$87,'Programme de vols'!$B$521:$B$560,"&lt;="&amp;$K$87)</f>
        <v>0</v>
      </c>
      <c r="L115" s="97" t="n">
        <f aca="false">SUMPRODUCT($C$88:$I$88,--(INDEX('Programme de vols'!$D$49:$J$513,373,0)&lt;&gt;""))+SUMIFS('Programme de vols'!$E$521:$E$560,'Programme de vols'!$C$521:$C$560,"JNBRUN",'Programme de vols'!$D$521:$D$560,"77W",'Programme de vols'!$B$521:$B$560,"&gt;="&amp;$J$88,'Programme de vols'!$B$521:$B$560,"&lt;="&amp;$K$88)</f>
        <v>0</v>
      </c>
      <c r="M115" s="97" t="n">
        <f aca="false">SUMPRODUCT($C$89:$I$89,--(INDEX('Programme de vols'!$D$49:$J$513,412,0)&lt;&gt;""))+SUMIFS('Programme de vols'!$E$521:$E$560,'Programme de vols'!$C$521:$C$560,"JNBRUN",'Programme de vols'!$D$521:$D$560,"77W",'Programme de vols'!$B$521:$B$560,"&gt;="&amp;$J$89,'Programme de vols'!$B$521:$B$560,"&lt;="&amp;$K$89)</f>
        <v>0</v>
      </c>
      <c r="N115" s="97" t="n">
        <f aca="false">SUMPRODUCT($C$90:$I$90,--(INDEX('Programme de vols'!$D$49:$J$513,451,0)&lt;&gt;""))+SUMIFS('Programme de vols'!$E$521:$E$560,'Programme de vols'!$C$521:$C$560,"JNBRUN",'Programme de vols'!$D$521:$D$560,"77W",'Programme de vols'!$B$521:$B$560,"&gt;="&amp;$J$90,'Programme de vols'!$B$521:$B$560,"&lt;="&amp;$K$90)</f>
        <v>0</v>
      </c>
      <c r="O115" s="12" t="s">
        <v>48</v>
      </c>
      <c r="P115" s="12" t="s">
        <v>11</v>
      </c>
    </row>
    <row r="116" customFormat="false" ht="15" hidden="false" customHeight="false" outlineLevel="0" collapsed="false">
      <c r="B116" s="10" t="s">
        <v>119</v>
      </c>
      <c r="C116" s="97" t="n">
        <f aca="false">SUMPRODUCT($C$79:$I$79,--(INDEX('Programme de vols'!$D$49:$J$513,23,0)&lt;&gt;""))+SUMIFS('Programme de vols'!$E$521:$E$560,'Programme de vols'!$C$521:$C$560,"JNBRUN",'Programme de vols'!$D$521:$D$560,"778",'Programme de vols'!$B$521:$B$560,"&gt;="&amp;$J$79,'Programme de vols'!$B$521:$B$560,"&lt;="&amp;$K$79)</f>
        <v>9</v>
      </c>
      <c r="D116" s="97" t="n">
        <f aca="false">SUMPRODUCT($C$80:$I$80,--(INDEX('Programme de vols'!$D$49:$J$513,62,0)&lt;&gt;""))+SUMIFS('Programme de vols'!$E$521:$E$560,'Programme de vols'!$C$521:$C$560,"JNBRUN",'Programme de vols'!$D$521:$D$560,"778",'Programme de vols'!$B$521:$B$560,"&gt;="&amp;$J$80,'Programme de vols'!$B$521:$B$560,"&lt;="&amp;$K$80)</f>
        <v>9</v>
      </c>
      <c r="E116" s="97" t="n">
        <f aca="false">SUMPRODUCT($C$81:$I$81,--(INDEX('Programme de vols'!$D$49:$J$513,101,0)&lt;&gt;""))+SUMIFS('Programme de vols'!$E$521:$E$560,'Programme de vols'!$C$521:$C$560,"JNBRUN",'Programme de vols'!$D$521:$D$560,"778",'Programme de vols'!$B$521:$B$560,"&gt;="&amp;$J$81,'Programme de vols'!$B$521:$B$560,"&lt;="&amp;$K$81)</f>
        <v>8</v>
      </c>
      <c r="F116" s="97" t="n">
        <f aca="false">SUMPRODUCT($C$82:$I$82,--(INDEX('Programme de vols'!$D$49:$J$513,140,0)&lt;&gt;""))+SUMIFS('Programme de vols'!$E$521:$E$560,'Programme de vols'!$C$521:$C$560,"JNBRUN",'Programme de vols'!$D$521:$D$560,"778",'Programme de vols'!$B$521:$B$560,"&gt;="&amp;$J$82,'Programme de vols'!$B$521:$B$560,"&lt;="&amp;$K$82)</f>
        <v>9</v>
      </c>
      <c r="G116" s="97" t="n">
        <f aca="false">SUMPRODUCT($C$83:$I$83,--(INDEX('Programme de vols'!$D$49:$J$513,179,0)&lt;&gt;""))+SUMIFS('Programme de vols'!$E$521:$E$560,'Programme de vols'!$C$521:$C$560,"JNBRUN",'Programme de vols'!$D$521:$D$560,"778",'Programme de vols'!$B$521:$B$560,"&gt;="&amp;$J$83,'Programme de vols'!$B$521:$B$560,"&lt;="&amp;$K$83)</f>
        <v>9</v>
      </c>
      <c r="H116" s="97" t="n">
        <f aca="false">SUMPRODUCT($C$84:$I$84,--(INDEX('Programme de vols'!$D$49:$J$513,218,0)&lt;&gt;""))+SUMIFS('Programme de vols'!$E$521:$E$560,'Programme de vols'!$C$521:$C$560,"JNBRUN",'Programme de vols'!$D$521:$D$560,"778",'Programme de vols'!$B$521:$B$560,"&gt;="&amp;$J$84,'Programme de vols'!$B$521:$B$560,"&lt;="&amp;$K$84)</f>
        <v>8</v>
      </c>
      <c r="I116" s="97" t="n">
        <f aca="false">SUMPRODUCT($C$85:$I$85,--(INDEX('Programme de vols'!$D$49:$J$513,257,0)&lt;&gt;""))+SUMIFS('Programme de vols'!$E$521:$E$560,'Programme de vols'!$C$521:$C$560,"JNBRUN",'Programme de vols'!$D$521:$D$560,"778",'Programme de vols'!$B$521:$B$560,"&gt;="&amp;$J$85,'Programme de vols'!$B$521:$B$560,"&lt;="&amp;$K$85)</f>
        <v>9</v>
      </c>
      <c r="J116" s="97" t="n">
        <f aca="false">SUMPRODUCT($C$86:$I$86,--(INDEX('Programme de vols'!$D$49:$J$513,296,0)&lt;&gt;""))+SUMIFS('Programme de vols'!$E$521:$E$560,'Programme de vols'!$C$521:$C$560,"JNBRUN",'Programme de vols'!$D$521:$D$560,"778",'Programme de vols'!$B$521:$B$560,"&gt;="&amp;$J$86,'Programme de vols'!$B$521:$B$560,"&lt;="&amp;$K$86)</f>
        <v>9</v>
      </c>
      <c r="K116" s="97" t="n">
        <f aca="false">SUMPRODUCT($C$87:$I$87,--(INDEX('Programme de vols'!$D$49:$J$513,335,0)&lt;&gt;""))+SUMIFS('Programme de vols'!$E$521:$E$560,'Programme de vols'!$C$521:$C$560,"JNBRUN",'Programme de vols'!$D$521:$D$560,"778",'Programme de vols'!$B$521:$B$560,"&gt;="&amp;$J$87,'Programme de vols'!$B$521:$B$560,"&lt;="&amp;$K$87)</f>
        <v>9</v>
      </c>
      <c r="L116" s="97" t="n">
        <f aca="false">SUMPRODUCT($C$88:$I$88,--(INDEX('Programme de vols'!$D$49:$J$513,374,0)&lt;&gt;""))+SUMIFS('Programme de vols'!$E$521:$E$560,'Programme de vols'!$C$521:$C$560,"JNBRUN",'Programme de vols'!$D$521:$D$560,"778",'Programme de vols'!$B$521:$B$560,"&gt;="&amp;$J$88,'Programme de vols'!$B$521:$B$560,"&lt;="&amp;$K$88)</f>
        <v>9</v>
      </c>
      <c r="M116" s="97" t="n">
        <f aca="false">SUMPRODUCT($C$89:$I$89,--(INDEX('Programme de vols'!$D$49:$J$513,413,0)&lt;&gt;""))+SUMIFS('Programme de vols'!$E$521:$E$560,'Programme de vols'!$C$521:$C$560,"JNBRUN",'Programme de vols'!$D$521:$D$560,"778",'Programme de vols'!$B$521:$B$560,"&gt;="&amp;$J$89,'Programme de vols'!$B$521:$B$560,"&lt;="&amp;$K$89)</f>
        <v>8</v>
      </c>
      <c r="N116" s="97" t="n">
        <f aca="false">SUMPRODUCT($C$90:$I$90,--(INDEX('Programme de vols'!$D$49:$J$513,452,0)&lt;&gt;""))+SUMIFS('Programme de vols'!$E$521:$E$560,'Programme de vols'!$C$521:$C$560,"JNBRUN",'Programme de vols'!$D$521:$D$560,"778",'Programme de vols'!$B$521:$B$560,"&gt;="&amp;$J$90,'Programme de vols'!$B$521:$B$560,"&lt;="&amp;$K$90)</f>
        <v>9</v>
      </c>
      <c r="O116" s="12" t="s">
        <v>48</v>
      </c>
      <c r="P116" s="12" t="s">
        <v>18</v>
      </c>
    </row>
    <row r="117" customFormat="false" ht="15" hidden="false" customHeight="false" outlineLevel="0" collapsed="false">
      <c r="B117" s="10" t="s">
        <v>121</v>
      </c>
      <c r="C117" s="97" t="n">
        <f aca="false">SUMPRODUCT($C$79:$I$79,--(INDEX('Programme de vols'!$D$49:$J$513,24,0)&lt;&gt;""))+SUMIFS('Programme de vols'!$E$521:$E$560,'Programme de vols'!$C$521:$C$560,"JNBRUN",'Programme de vols'!$D$521:$D$560,"A320",'Programme de vols'!$B$521:$B$560,"&gt;="&amp;$J$79,'Programme de vols'!$B$521:$B$560,"&lt;="&amp;$K$79)</f>
        <v>0</v>
      </c>
      <c r="D117" s="97" t="n">
        <f aca="false">SUMPRODUCT($C$80:$I$80,--(INDEX('Programme de vols'!$D$49:$J$513,63,0)&lt;&gt;""))+SUMIFS('Programme de vols'!$E$521:$E$560,'Programme de vols'!$C$521:$C$560,"JNBRUN",'Programme de vols'!$D$521:$D$560,"A320",'Programme de vols'!$B$521:$B$560,"&gt;="&amp;$J$80,'Programme de vols'!$B$521:$B$560,"&lt;="&amp;$K$80)</f>
        <v>0</v>
      </c>
      <c r="E117" s="97" t="n">
        <f aca="false">SUMPRODUCT($C$81:$I$81,--(INDEX('Programme de vols'!$D$49:$J$513,102,0)&lt;&gt;""))+SUMIFS('Programme de vols'!$E$521:$E$560,'Programme de vols'!$C$521:$C$560,"JNBRUN",'Programme de vols'!$D$521:$D$560,"A320",'Programme de vols'!$B$521:$B$560,"&gt;="&amp;$J$81,'Programme de vols'!$B$521:$B$560,"&lt;="&amp;$K$81)</f>
        <v>0</v>
      </c>
      <c r="F117" s="97" t="n">
        <f aca="false">SUMPRODUCT($C$82:$I$82,--(INDEX('Programme de vols'!$D$49:$J$513,141,0)&lt;&gt;""))+SUMIFS('Programme de vols'!$E$521:$E$560,'Programme de vols'!$C$521:$C$560,"JNBRUN",'Programme de vols'!$D$521:$D$560,"A320",'Programme de vols'!$B$521:$B$560,"&gt;="&amp;$J$82,'Programme de vols'!$B$521:$B$560,"&lt;="&amp;$K$82)</f>
        <v>0</v>
      </c>
      <c r="G117" s="97" t="n">
        <f aca="false">SUMPRODUCT($C$83:$I$83,--(INDEX('Programme de vols'!$D$49:$J$513,180,0)&lt;&gt;""))+SUMIFS('Programme de vols'!$E$521:$E$560,'Programme de vols'!$C$521:$C$560,"JNBRUN",'Programme de vols'!$D$521:$D$560,"A320",'Programme de vols'!$B$521:$B$560,"&gt;="&amp;$J$83,'Programme de vols'!$B$521:$B$560,"&lt;="&amp;$K$83)</f>
        <v>0</v>
      </c>
      <c r="H117" s="97" t="n">
        <f aca="false">SUMPRODUCT($C$84:$I$84,--(INDEX('Programme de vols'!$D$49:$J$513,219,0)&lt;&gt;""))+SUMIFS('Programme de vols'!$E$521:$E$560,'Programme de vols'!$C$521:$C$560,"JNBRUN",'Programme de vols'!$D$521:$D$560,"A320",'Programme de vols'!$B$521:$B$560,"&gt;="&amp;$J$84,'Programme de vols'!$B$521:$B$560,"&lt;="&amp;$K$84)</f>
        <v>0</v>
      </c>
      <c r="I117" s="97" t="n">
        <f aca="false">SUMPRODUCT($C$85:$I$85,--(INDEX('Programme de vols'!$D$49:$J$513,258,0)&lt;&gt;""))+SUMIFS('Programme de vols'!$E$521:$E$560,'Programme de vols'!$C$521:$C$560,"JNBRUN",'Programme de vols'!$D$521:$D$560,"A320",'Programme de vols'!$B$521:$B$560,"&gt;="&amp;$J$85,'Programme de vols'!$B$521:$B$560,"&lt;="&amp;$K$85)</f>
        <v>0</v>
      </c>
      <c r="J117" s="97" t="n">
        <f aca="false">SUMPRODUCT($C$86:$I$86,--(INDEX('Programme de vols'!$D$49:$J$513,297,0)&lt;&gt;""))+SUMIFS('Programme de vols'!$E$521:$E$560,'Programme de vols'!$C$521:$C$560,"JNBRUN",'Programme de vols'!$D$521:$D$560,"A320",'Programme de vols'!$B$521:$B$560,"&gt;="&amp;$J$86,'Programme de vols'!$B$521:$B$560,"&lt;="&amp;$K$86)</f>
        <v>0</v>
      </c>
      <c r="K117" s="97" t="n">
        <f aca="false">SUMPRODUCT($C$87:$I$87,--(INDEX('Programme de vols'!$D$49:$J$513,336,0)&lt;&gt;""))+SUMIFS('Programme de vols'!$E$521:$E$560,'Programme de vols'!$C$521:$C$560,"JNBRUN",'Programme de vols'!$D$521:$D$560,"A320",'Programme de vols'!$B$521:$B$560,"&gt;="&amp;$J$87,'Programme de vols'!$B$521:$B$560,"&lt;="&amp;$K$87)</f>
        <v>0</v>
      </c>
      <c r="L117" s="97" t="n">
        <f aca="false">SUMPRODUCT($C$88:$I$88,--(INDEX('Programme de vols'!$D$49:$J$513,375,0)&lt;&gt;""))+SUMIFS('Programme de vols'!$E$521:$E$560,'Programme de vols'!$C$521:$C$560,"JNBRUN",'Programme de vols'!$D$521:$D$560,"A320",'Programme de vols'!$B$521:$B$560,"&gt;="&amp;$J$88,'Programme de vols'!$B$521:$B$560,"&lt;="&amp;$K$88)</f>
        <v>0</v>
      </c>
      <c r="M117" s="97" t="n">
        <f aca="false">SUMPRODUCT($C$89:$I$89,--(INDEX('Programme de vols'!$D$49:$J$513,414,0)&lt;&gt;""))+SUMIFS('Programme de vols'!$E$521:$E$560,'Programme de vols'!$C$521:$C$560,"JNBRUN",'Programme de vols'!$D$521:$D$560,"A320",'Programme de vols'!$B$521:$B$560,"&gt;="&amp;$J$89,'Programme de vols'!$B$521:$B$560,"&lt;="&amp;$K$89)</f>
        <v>0</v>
      </c>
      <c r="N117" s="97" t="n">
        <f aca="false">SUMPRODUCT($C$90:$I$90,--(INDEX('Programme de vols'!$D$49:$J$513,453,0)&lt;&gt;""))+SUMIFS('Programme de vols'!$E$521:$E$560,'Programme de vols'!$C$521:$C$560,"JNBRUN",'Programme de vols'!$D$521:$D$560,"A320",'Programme de vols'!$B$521:$B$560,"&gt;="&amp;$J$90,'Programme de vols'!$B$521:$B$560,"&lt;="&amp;$K$90)</f>
        <v>0</v>
      </c>
      <c r="O117" s="12" t="s">
        <v>48</v>
      </c>
      <c r="P117" s="12" t="s">
        <v>23</v>
      </c>
    </row>
    <row r="118" customFormat="false" ht="15" hidden="false" customHeight="false" outlineLevel="0" collapsed="false">
      <c r="B118" s="10" t="s">
        <v>125</v>
      </c>
      <c r="C118" s="97" t="n">
        <f aca="false">SUMPRODUCT($C$79:$I$79,--(INDEX('Programme de vols'!$D$49:$J$513,25,0)&lt;&gt;""))+SUMIFS('Programme de vols'!$E$521:$E$560,'Programme de vols'!$C$521:$C$560,"CPTRUN",'Programme de vols'!$D$521:$D$560,"77W",'Programme de vols'!$B$521:$B$560,"&gt;="&amp;$J$79,'Programme de vols'!$B$521:$B$560,"&lt;="&amp;$K$79)</f>
        <v>0</v>
      </c>
      <c r="D118" s="97" t="n">
        <f aca="false">SUMPRODUCT($C$80:$I$80,--(INDEX('Programme de vols'!$D$49:$J$513,64,0)&lt;&gt;""))+SUMIFS('Programme de vols'!$E$521:$E$560,'Programme de vols'!$C$521:$C$560,"CPTRUN",'Programme de vols'!$D$521:$D$560,"77W",'Programme de vols'!$B$521:$B$560,"&gt;="&amp;$J$80,'Programme de vols'!$B$521:$B$560,"&lt;="&amp;$K$80)</f>
        <v>0</v>
      </c>
      <c r="E118" s="97" t="n">
        <f aca="false">SUMPRODUCT($C$81:$I$81,--(INDEX('Programme de vols'!$D$49:$J$513,103,0)&lt;&gt;""))+SUMIFS('Programme de vols'!$E$521:$E$560,'Programme de vols'!$C$521:$C$560,"CPTRUN",'Programme de vols'!$D$521:$D$560,"77W",'Programme de vols'!$B$521:$B$560,"&gt;="&amp;$J$81,'Programme de vols'!$B$521:$B$560,"&lt;="&amp;$K$81)</f>
        <v>0</v>
      </c>
      <c r="F118" s="97" t="n">
        <f aca="false">SUMPRODUCT($C$82:$I$82,--(INDEX('Programme de vols'!$D$49:$J$513,142,0)&lt;&gt;""))+SUMIFS('Programme de vols'!$E$521:$E$560,'Programme de vols'!$C$521:$C$560,"CPTRUN",'Programme de vols'!$D$521:$D$560,"77W",'Programme de vols'!$B$521:$B$560,"&gt;="&amp;$J$82,'Programme de vols'!$B$521:$B$560,"&lt;="&amp;$K$82)</f>
        <v>0</v>
      </c>
      <c r="G118" s="97" t="n">
        <f aca="false">SUMPRODUCT($C$83:$I$83,--(INDEX('Programme de vols'!$D$49:$J$513,181,0)&lt;&gt;""))+SUMIFS('Programme de vols'!$E$521:$E$560,'Programme de vols'!$C$521:$C$560,"CPTRUN",'Programme de vols'!$D$521:$D$560,"77W",'Programme de vols'!$B$521:$B$560,"&gt;="&amp;$J$83,'Programme de vols'!$B$521:$B$560,"&lt;="&amp;$K$83)</f>
        <v>0</v>
      </c>
      <c r="H118" s="97" t="n">
        <f aca="false">SUMPRODUCT($C$84:$I$84,--(INDEX('Programme de vols'!$D$49:$J$513,220,0)&lt;&gt;""))+SUMIFS('Programme de vols'!$E$521:$E$560,'Programme de vols'!$C$521:$C$560,"CPTRUN",'Programme de vols'!$D$521:$D$560,"77W",'Programme de vols'!$B$521:$B$560,"&gt;="&amp;$J$84,'Programme de vols'!$B$521:$B$560,"&lt;="&amp;$K$84)</f>
        <v>0</v>
      </c>
      <c r="I118" s="97" t="n">
        <f aca="false">SUMPRODUCT($C$85:$I$85,--(INDEX('Programme de vols'!$D$49:$J$513,259,0)&lt;&gt;""))+SUMIFS('Programme de vols'!$E$521:$E$560,'Programme de vols'!$C$521:$C$560,"CPTRUN",'Programme de vols'!$D$521:$D$560,"77W",'Programme de vols'!$B$521:$B$560,"&gt;="&amp;$J$85,'Programme de vols'!$B$521:$B$560,"&lt;="&amp;$K$85)</f>
        <v>0</v>
      </c>
      <c r="J118" s="97" t="n">
        <f aca="false">SUMPRODUCT($C$86:$I$86,--(INDEX('Programme de vols'!$D$49:$J$513,298,0)&lt;&gt;""))+SUMIFS('Programme de vols'!$E$521:$E$560,'Programme de vols'!$C$521:$C$560,"CPTRUN",'Programme de vols'!$D$521:$D$560,"77W",'Programme de vols'!$B$521:$B$560,"&gt;="&amp;$J$86,'Programme de vols'!$B$521:$B$560,"&lt;="&amp;$K$86)</f>
        <v>0</v>
      </c>
      <c r="K118" s="97" t="n">
        <f aca="false">SUMPRODUCT($C$87:$I$87,--(INDEX('Programme de vols'!$D$49:$J$513,337,0)&lt;&gt;""))+SUMIFS('Programme de vols'!$E$521:$E$560,'Programme de vols'!$C$521:$C$560,"CPTRUN",'Programme de vols'!$D$521:$D$560,"77W",'Programme de vols'!$B$521:$B$560,"&gt;="&amp;$J$87,'Programme de vols'!$B$521:$B$560,"&lt;="&amp;$K$87)</f>
        <v>0</v>
      </c>
      <c r="L118" s="97" t="n">
        <f aca="false">SUMPRODUCT($C$88:$I$88,--(INDEX('Programme de vols'!$D$49:$J$513,376,0)&lt;&gt;""))+SUMIFS('Programme de vols'!$E$521:$E$560,'Programme de vols'!$C$521:$C$560,"CPTRUN",'Programme de vols'!$D$521:$D$560,"77W",'Programme de vols'!$B$521:$B$560,"&gt;="&amp;$J$88,'Programme de vols'!$B$521:$B$560,"&lt;="&amp;$K$88)</f>
        <v>0</v>
      </c>
      <c r="M118" s="97" t="n">
        <f aca="false">SUMPRODUCT($C$89:$I$89,--(INDEX('Programme de vols'!$D$49:$J$513,415,0)&lt;&gt;""))+SUMIFS('Programme de vols'!$E$521:$E$560,'Programme de vols'!$C$521:$C$560,"CPTRUN",'Programme de vols'!$D$521:$D$560,"77W",'Programme de vols'!$B$521:$B$560,"&gt;="&amp;$J$89,'Programme de vols'!$B$521:$B$560,"&lt;="&amp;$K$89)</f>
        <v>0</v>
      </c>
      <c r="N118" s="97" t="n">
        <f aca="false">SUMPRODUCT($C$90:$I$90,--(INDEX('Programme de vols'!$D$49:$J$513,454,0)&lt;&gt;""))+SUMIFS('Programme de vols'!$E$521:$E$560,'Programme de vols'!$C$521:$C$560,"CPTRUN",'Programme de vols'!$D$521:$D$560,"77W",'Programme de vols'!$B$521:$B$560,"&gt;="&amp;$J$90,'Programme de vols'!$B$521:$B$560,"&lt;="&amp;$K$90)</f>
        <v>0</v>
      </c>
      <c r="O118" s="12" t="s">
        <v>52</v>
      </c>
      <c r="P118" s="12" t="s">
        <v>11</v>
      </c>
    </row>
    <row r="119" customFormat="false" ht="15" hidden="false" customHeight="false" outlineLevel="0" collapsed="false">
      <c r="B119" s="10" t="s">
        <v>127</v>
      </c>
      <c r="C119" s="97" t="n">
        <f aca="false">SUMPRODUCT($C$79:$I$79,--(INDEX('Programme de vols'!$D$49:$J$513,26,0)&lt;&gt;""))+SUMIFS('Programme de vols'!$E$521:$E$560,'Programme de vols'!$C$521:$C$560,"CPTRUN",'Programme de vols'!$D$521:$D$560,"778",'Programme de vols'!$B$521:$B$560,"&gt;="&amp;$J$79,'Programme de vols'!$B$521:$B$560,"&lt;="&amp;$K$79)</f>
        <v>5</v>
      </c>
      <c r="D119" s="97" t="n">
        <f aca="false">SUMPRODUCT($C$80:$I$80,--(INDEX('Programme de vols'!$D$49:$J$513,65,0)&lt;&gt;""))+SUMIFS('Programme de vols'!$E$521:$E$560,'Programme de vols'!$C$521:$C$560,"CPTRUN",'Programme de vols'!$D$521:$D$560,"778",'Programme de vols'!$B$521:$B$560,"&gt;="&amp;$J$80,'Programme de vols'!$B$521:$B$560,"&lt;="&amp;$K$80)</f>
        <v>4</v>
      </c>
      <c r="E119" s="97" t="n">
        <f aca="false">SUMPRODUCT($C$81:$I$81,--(INDEX('Programme de vols'!$D$49:$J$513,104,0)&lt;&gt;""))+SUMIFS('Programme de vols'!$E$521:$E$560,'Programme de vols'!$C$521:$C$560,"CPTRUN",'Programme de vols'!$D$521:$D$560,"778",'Programme de vols'!$B$521:$B$560,"&gt;="&amp;$J$81,'Programme de vols'!$B$521:$B$560,"&lt;="&amp;$K$81)</f>
        <v>4</v>
      </c>
      <c r="F119" s="97" t="n">
        <f aca="false">SUMPRODUCT($C$82:$I$82,--(INDEX('Programme de vols'!$D$49:$J$513,143,0)&lt;&gt;""))+SUMIFS('Programme de vols'!$E$521:$E$560,'Programme de vols'!$C$521:$C$560,"CPTRUN",'Programme de vols'!$D$521:$D$560,"778",'Programme de vols'!$B$521:$B$560,"&gt;="&amp;$J$82,'Programme de vols'!$B$521:$B$560,"&lt;="&amp;$K$82)</f>
        <v>5</v>
      </c>
      <c r="G119" s="97" t="n">
        <f aca="false">SUMPRODUCT($C$83:$I$83,--(INDEX('Programme de vols'!$D$49:$J$513,182,0)&lt;&gt;""))+SUMIFS('Programme de vols'!$E$521:$E$560,'Programme de vols'!$C$521:$C$560,"CPTRUN",'Programme de vols'!$D$521:$D$560,"778",'Programme de vols'!$B$521:$B$560,"&gt;="&amp;$J$83,'Programme de vols'!$B$521:$B$560,"&lt;="&amp;$K$83)</f>
        <v>4</v>
      </c>
      <c r="H119" s="97" t="n">
        <f aca="false">SUMPRODUCT($C$84:$I$84,--(INDEX('Programme de vols'!$D$49:$J$513,221,0)&lt;&gt;""))+SUMIFS('Programme de vols'!$E$521:$E$560,'Programme de vols'!$C$521:$C$560,"CPTRUN",'Programme de vols'!$D$521:$D$560,"778",'Programme de vols'!$B$521:$B$560,"&gt;="&amp;$J$84,'Programme de vols'!$B$521:$B$560,"&lt;="&amp;$K$84)</f>
        <v>5</v>
      </c>
      <c r="I119" s="97" t="n">
        <f aca="false">SUMPRODUCT($C$85:$I$85,--(INDEX('Programme de vols'!$D$49:$J$513,260,0)&lt;&gt;""))+SUMIFS('Programme de vols'!$E$521:$E$560,'Programme de vols'!$C$521:$C$560,"CPTRUN",'Programme de vols'!$D$521:$D$560,"778",'Programme de vols'!$B$521:$B$560,"&gt;="&amp;$J$85,'Programme de vols'!$B$521:$B$560,"&lt;="&amp;$K$85)</f>
        <v>4</v>
      </c>
      <c r="J119" s="97" t="n">
        <f aca="false">SUMPRODUCT($C$86:$I$86,--(INDEX('Programme de vols'!$D$49:$J$513,299,0)&lt;&gt;""))+SUMIFS('Programme de vols'!$E$521:$E$560,'Programme de vols'!$C$521:$C$560,"CPTRUN",'Programme de vols'!$D$521:$D$560,"778",'Programme de vols'!$B$521:$B$560,"&gt;="&amp;$J$86,'Programme de vols'!$B$521:$B$560,"&lt;="&amp;$K$86)</f>
        <v>4</v>
      </c>
      <c r="K119" s="97" t="n">
        <f aca="false">SUMPRODUCT($C$87:$I$87,--(INDEX('Programme de vols'!$D$49:$J$513,338,0)&lt;&gt;""))+SUMIFS('Programme de vols'!$E$521:$E$560,'Programme de vols'!$C$521:$C$560,"CPTRUN",'Programme de vols'!$D$521:$D$560,"778",'Programme de vols'!$B$521:$B$560,"&gt;="&amp;$J$87,'Programme de vols'!$B$521:$B$560,"&lt;="&amp;$K$87)</f>
        <v>5</v>
      </c>
      <c r="L119" s="97" t="n">
        <f aca="false">SUMPRODUCT($C$88:$I$88,--(INDEX('Programme de vols'!$D$49:$J$513,377,0)&lt;&gt;""))+SUMIFS('Programme de vols'!$E$521:$E$560,'Programme de vols'!$C$521:$C$560,"CPTRUN",'Programme de vols'!$D$521:$D$560,"778",'Programme de vols'!$B$521:$B$560,"&gt;="&amp;$J$88,'Programme de vols'!$B$521:$B$560,"&lt;="&amp;$K$88)</f>
        <v>4</v>
      </c>
      <c r="M119" s="97" t="n">
        <f aca="false">SUMPRODUCT($C$89:$I$89,--(INDEX('Programme de vols'!$D$49:$J$513,416,0)&lt;&gt;""))+SUMIFS('Programme de vols'!$E$521:$E$560,'Programme de vols'!$C$521:$C$560,"CPTRUN",'Programme de vols'!$D$521:$D$560,"778",'Programme de vols'!$B$521:$B$560,"&gt;="&amp;$J$89,'Programme de vols'!$B$521:$B$560,"&lt;="&amp;$K$89)</f>
        <v>4</v>
      </c>
      <c r="N119" s="97" t="n">
        <f aca="false">SUMPRODUCT($C$90:$I$90,--(INDEX('Programme de vols'!$D$49:$J$513,455,0)&lt;&gt;""))+SUMIFS('Programme de vols'!$E$521:$E$560,'Programme de vols'!$C$521:$C$560,"CPTRUN",'Programme de vols'!$D$521:$D$560,"778",'Programme de vols'!$B$521:$B$560,"&gt;="&amp;$J$90,'Programme de vols'!$B$521:$B$560,"&lt;="&amp;$K$90)</f>
        <v>5</v>
      </c>
      <c r="O119" s="12" t="s">
        <v>52</v>
      </c>
      <c r="P119" s="12" t="s">
        <v>18</v>
      </c>
    </row>
    <row r="120" customFormat="false" ht="15" hidden="false" customHeight="false" outlineLevel="0" collapsed="false">
      <c r="B120" s="10" t="s">
        <v>128</v>
      </c>
      <c r="C120" s="97" t="n">
        <f aca="false">SUMPRODUCT($C$79:$I$79,--(INDEX('Programme de vols'!$D$49:$J$513,27,0)&lt;&gt;""))+SUMIFS('Programme de vols'!$E$521:$E$560,'Programme de vols'!$C$521:$C$560,"CPTRUN",'Programme de vols'!$D$521:$D$560,"A320",'Programme de vols'!$B$521:$B$560,"&gt;="&amp;$J$79,'Programme de vols'!$B$521:$B$560,"&lt;="&amp;$K$79)</f>
        <v>0</v>
      </c>
      <c r="D120" s="97" t="n">
        <f aca="false">SUMPRODUCT($C$80:$I$80,--(INDEX('Programme de vols'!$D$49:$J$513,66,0)&lt;&gt;""))+SUMIFS('Programme de vols'!$E$521:$E$560,'Programme de vols'!$C$521:$C$560,"CPTRUN",'Programme de vols'!$D$521:$D$560,"A320",'Programme de vols'!$B$521:$B$560,"&gt;="&amp;$J$80,'Programme de vols'!$B$521:$B$560,"&lt;="&amp;$K$80)</f>
        <v>0</v>
      </c>
      <c r="E120" s="97" t="n">
        <f aca="false">SUMPRODUCT($C$81:$I$81,--(INDEX('Programme de vols'!$D$49:$J$513,105,0)&lt;&gt;""))+SUMIFS('Programme de vols'!$E$521:$E$560,'Programme de vols'!$C$521:$C$560,"CPTRUN",'Programme de vols'!$D$521:$D$560,"A320",'Programme de vols'!$B$521:$B$560,"&gt;="&amp;$J$81,'Programme de vols'!$B$521:$B$560,"&lt;="&amp;$K$81)</f>
        <v>0</v>
      </c>
      <c r="F120" s="97" t="n">
        <f aca="false">SUMPRODUCT($C$82:$I$82,--(INDEX('Programme de vols'!$D$49:$J$513,144,0)&lt;&gt;""))+SUMIFS('Programme de vols'!$E$521:$E$560,'Programme de vols'!$C$521:$C$560,"CPTRUN",'Programme de vols'!$D$521:$D$560,"A320",'Programme de vols'!$B$521:$B$560,"&gt;="&amp;$J$82,'Programme de vols'!$B$521:$B$560,"&lt;="&amp;$K$82)</f>
        <v>0</v>
      </c>
      <c r="G120" s="97" t="n">
        <f aca="false">SUMPRODUCT($C$83:$I$83,--(INDEX('Programme de vols'!$D$49:$J$513,183,0)&lt;&gt;""))+SUMIFS('Programme de vols'!$E$521:$E$560,'Programme de vols'!$C$521:$C$560,"CPTRUN",'Programme de vols'!$D$521:$D$560,"A320",'Programme de vols'!$B$521:$B$560,"&gt;="&amp;$J$83,'Programme de vols'!$B$521:$B$560,"&lt;="&amp;$K$83)</f>
        <v>0</v>
      </c>
      <c r="H120" s="97" t="n">
        <f aca="false">SUMPRODUCT($C$84:$I$84,--(INDEX('Programme de vols'!$D$49:$J$513,222,0)&lt;&gt;""))+SUMIFS('Programme de vols'!$E$521:$E$560,'Programme de vols'!$C$521:$C$560,"CPTRUN",'Programme de vols'!$D$521:$D$560,"A320",'Programme de vols'!$B$521:$B$560,"&gt;="&amp;$J$84,'Programme de vols'!$B$521:$B$560,"&lt;="&amp;$K$84)</f>
        <v>0</v>
      </c>
      <c r="I120" s="97" t="n">
        <f aca="false">SUMPRODUCT($C$85:$I$85,--(INDEX('Programme de vols'!$D$49:$J$513,261,0)&lt;&gt;""))+SUMIFS('Programme de vols'!$E$521:$E$560,'Programme de vols'!$C$521:$C$560,"CPTRUN",'Programme de vols'!$D$521:$D$560,"A320",'Programme de vols'!$B$521:$B$560,"&gt;="&amp;$J$85,'Programme de vols'!$B$521:$B$560,"&lt;="&amp;$K$85)</f>
        <v>0</v>
      </c>
      <c r="J120" s="97" t="n">
        <f aca="false">SUMPRODUCT($C$86:$I$86,--(INDEX('Programme de vols'!$D$49:$J$513,300,0)&lt;&gt;""))+SUMIFS('Programme de vols'!$E$521:$E$560,'Programme de vols'!$C$521:$C$560,"CPTRUN",'Programme de vols'!$D$521:$D$560,"A320",'Programme de vols'!$B$521:$B$560,"&gt;="&amp;$J$86,'Programme de vols'!$B$521:$B$560,"&lt;="&amp;$K$86)</f>
        <v>0</v>
      </c>
      <c r="K120" s="97" t="n">
        <f aca="false">SUMPRODUCT($C$87:$I$87,--(INDEX('Programme de vols'!$D$49:$J$513,339,0)&lt;&gt;""))+SUMIFS('Programme de vols'!$E$521:$E$560,'Programme de vols'!$C$521:$C$560,"CPTRUN",'Programme de vols'!$D$521:$D$560,"A320",'Programme de vols'!$B$521:$B$560,"&gt;="&amp;$J$87,'Programme de vols'!$B$521:$B$560,"&lt;="&amp;$K$87)</f>
        <v>0</v>
      </c>
      <c r="L120" s="97" t="n">
        <f aca="false">SUMPRODUCT($C$88:$I$88,--(INDEX('Programme de vols'!$D$49:$J$513,378,0)&lt;&gt;""))+SUMIFS('Programme de vols'!$E$521:$E$560,'Programme de vols'!$C$521:$C$560,"CPTRUN",'Programme de vols'!$D$521:$D$560,"A320",'Programme de vols'!$B$521:$B$560,"&gt;="&amp;$J$88,'Programme de vols'!$B$521:$B$560,"&lt;="&amp;$K$88)</f>
        <v>0</v>
      </c>
      <c r="M120" s="97" t="n">
        <f aca="false">SUMPRODUCT($C$89:$I$89,--(INDEX('Programme de vols'!$D$49:$J$513,417,0)&lt;&gt;""))+SUMIFS('Programme de vols'!$E$521:$E$560,'Programme de vols'!$C$521:$C$560,"CPTRUN",'Programme de vols'!$D$521:$D$560,"A320",'Programme de vols'!$B$521:$B$560,"&gt;="&amp;$J$89,'Programme de vols'!$B$521:$B$560,"&lt;="&amp;$K$89)</f>
        <v>0</v>
      </c>
      <c r="N120" s="97" t="n">
        <f aca="false">SUMPRODUCT($C$90:$I$90,--(INDEX('Programme de vols'!$D$49:$J$513,456,0)&lt;&gt;""))+SUMIFS('Programme de vols'!$E$521:$E$560,'Programme de vols'!$C$521:$C$560,"CPTRUN",'Programme de vols'!$D$521:$D$560,"A320",'Programme de vols'!$B$521:$B$560,"&gt;="&amp;$J$90,'Programme de vols'!$B$521:$B$560,"&lt;="&amp;$K$90)</f>
        <v>0</v>
      </c>
      <c r="O120" s="12" t="s">
        <v>52</v>
      </c>
      <c r="P120" s="12" t="s">
        <v>23</v>
      </c>
    </row>
    <row r="121" customFormat="false" ht="15" hidden="false" customHeight="false" outlineLevel="0" collapsed="false">
      <c r="B121" s="10" t="s">
        <v>129</v>
      </c>
      <c r="C121" s="97" t="n">
        <f aca="false">SUMPRODUCT($C$79:$I$79,--(INDEX('Programme de vols'!$D$49:$J$513,28,0)&lt;&gt;""))+SUMIFS('Programme de vols'!$E$521:$E$560,'Programme de vols'!$C$521:$C$560,"DIERUN",'Programme de vols'!$D$521:$D$560,"77W",'Programme de vols'!$B$521:$B$560,"&gt;="&amp;$J$79,'Programme de vols'!$B$521:$B$560,"&lt;="&amp;$K$79)</f>
        <v>0</v>
      </c>
      <c r="D121" s="97" t="n">
        <f aca="false">SUMPRODUCT($C$80:$I$80,--(INDEX('Programme de vols'!$D$49:$J$513,67,0)&lt;&gt;""))+SUMIFS('Programme de vols'!$E$521:$E$560,'Programme de vols'!$C$521:$C$560,"DIERUN",'Programme de vols'!$D$521:$D$560,"77W",'Programme de vols'!$B$521:$B$560,"&gt;="&amp;$J$80,'Programme de vols'!$B$521:$B$560,"&lt;="&amp;$K$80)</f>
        <v>0</v>
      </c>
      <c r="E121" s="97" t="n">
        <f aca="false">SUMPRODUCT($C$81:$I$81,--(INDEX('Programme de vols'!$D$49:$J$513,106,0)&lt;&gt;""))+SUMIFS('Programme de vols'!$E$521:$E$560,'Programme de vols'!$C$521:$C$560,"DIERUN",'Programme de vols'!$D$521:$D$560,"77W",'Programme de vols'!$B$521:$B$560,"&gt;="&amp;$J$81,'Programme de vols'!$B$521:$B$560,"&lt;="&amp;$K$81)</f>
        <v>0</v>
      </c>
      <c r="F121" s="97" t="n">
        <f aca="false">SUMPRODUCT($C$82:$I$82,--(INDEX('Programme de vols'!$D$49:$J$513,145,0)&lt;&gt;""))+SUMIFS('Programme de vols'!$E$521:$E$560,'Programme de vols'!$C$521:$C$560,"DIERUN",'Programme de vols'!$D$521:$D$560,"77W",'Programme de vols'!$B$521:$B$560,"&gt;="&amp;$J$82,'Programme de vols'!$B$521:$B$560,"&lt;="&amp;$K$82)</f>
        <v>0</v>
      </c>
      <c r="G121" s="97" t="n">
        <f aca="false">SUMPRODUCT($C$83:$I$83,--(INDEX('Programme de vols'!$D$49:$J$513,184,0)&lt;&gt;""))+SUMIFS('Programme de vols'!$E$521:$E$560,'Programme de vols'!$C$521:$C$560,"DIERUN",'Programme de vols'!$D$521:$D$560,"77W",'Programme de vols'!$B$521:$B$560,"&gt;="&amp;$J$83,'Programme de vols'!$B$521:$B$560,"&lt;="&amp;$K$83)</f>
        <v>0</v>
      </c>
      <c r="H121" s="97" t="n">
        <f aca="false">SUMPRODUCT($C$84:$I$84,--(INDEX('Programme de vols'!$D$49:$J$513,223,0)&lt;&gt;""))+SUMIFS('Programme de vols'!$E$521:$E$560,'Programme de vols'!$C$521:$C$560,"DIERUN",'Programme de vols'!$D$521:$D$560,"77W",'Programme de vols'!$B$521:$B$560,"&gt;="&amp;$J$84,'Programme de vols'!$B$521:$B$560,"&lt;="&amp;$K$84)</f>
        <v>0</v>
      </c>
      <c r="I121" s="97" t="n">
        <f aca="false">SUMPRODUCT($C$85:$I$85,--(INDEX('Programme de vols'!$D$49:$J$513,262,0)&lt;&gt;""))+SUMIFS('Programme de vols'!$E$521:$E$560,'Programme de vols'!$C$521:$C$560,"DIERUN",'Programme de vols'!$D$521:$D$560,"77W",'Programme de vols'!$B$521:$B$560,"&gt;="&amp;$J$85,'Programme de vols'!$B$521:$B$560,"&lt;="&amp;$K$85)</f>
        <v>0</v>
      </c>
      <c r="J121" s="97" t="n">
        <f aca="false">SUMPRODUCT($C$86:$I$86,--(INDEX('Programme de vols'!$D$49:$J$513,301,0)&lt;&gt;""))+SUMIFS('Programme de vols'!$E$521:$E$560,'Programme de vols'!$C$521:$C$560,"DIERUN",'Programme de vols'!$D$521:$D$560,"77W",'Programme de vols'!$B$521:$B$560,"&gt;="&amp;$J$86,'Programme de vols'!$B$521:$B$560,"&lt;="&amp;$K$86)</f>
        <v>0</v>
      </c>
      <c r="K121" s="97" t="n">
        <f aca="false">SUMPRODUCT($C$87:$I$87,--(INDEX('Programme de vols'!$D$49:$J$513,340,0)&lt;&gt;""))+SUMIFS('Programme de vols'!$E$521:$E$560,'Programme de vols'!$C$521:$C$560,"DIERUN",'Programme de vols'!$D$521:$D$560,"77W",'Programme de vols'!$B$521:$B$560,"&gt;="&amp;$J$87,'Programme de vols'!$B$521:$B$560,"&lt;="&amp;$K$87)</f>
        <v>0</v>
      </c>
      <c r="L121" s="97" t="n">
        <f aca="false">SUMPRODUCT($C$88:$I$88,--(INDEX('Programme de vols'!$D$49:$J$513,379,0)&lt;&gt;""))+SUMIFS('Programme de vols'!$E$521:$E$560,'Programme de vols'!$C$521:$C$560,"DIERUN",'Programme de vols'!$D$521:$D$560,"77W",'Programme de vols'!$B$521:$B$560,"&gt;="&amp;$J$88,'Programme de vols'!$B$521:$B$560,"&lt;="&amp;$K$88)</f>
        <v>0</v>
      </c>
      <c r="M121" s="97" t="n">
        <f aca="false">SUMPRODUCT($C$89:$I$89,--(INDEX('Programme de vols'!$D$49:$J$513,418,0)&lt;&gt;""))+SUMIFS('Programme de vols'!$E$521:$E$560,'Programme de vols'!$C$521:$C$560,"DIERUN",'Programme de vols'!$D$521:$D$560,"77W",'Programme de vols'!$B$521:$B$560,"&gt;="&amp;$J$89,'Programme de vols'!$B$521:$B$560,"&lt;="&amp;$K$89)</f>
        <v>0</v>
      </c>
      <c r="N121" s="97" t="n">
        <f aca="false">SUMPRODUCT($C$90:$I$90,--(INDEX('Programme de vols'!$D$49:$J$513,457,0)&lt;&gt;""))+SUMIFS('Programme de vols'!$E$521:$E$560,'Programme de vols'!$C$521:$C$560,"DIERUN",'Programme de vols'!$D$521:$D$560,"77W",'Programme de vols'!$B$521:$B$560,"&gt;="&amp;$J$90,'Programme de vols'!$B$521:$B$560,"&lt;="&amp;$K$90)</f>
        <v>0</v>
      </c>
      <c r="O121" s="12" t="s">
        <v>55</v>
      </c>
      <c r="P121" s="12" t="s">
        <v>11</v>
      </c>
    </row>
    <row r="122" customFormat="false" ht="15" hidden="false" customHeight="false" outlineLevel="0" collapsed="false">
      <c r="B122" s="10" t="s">
        <v>130</v>
      </c>
      <c r="C122" s="97" t="n">
        <f aca="false">SUMPRODUCT($C$79:$I$79,--(INDEX('Programme de vols'!$D$49:$J$513,29,0)&lt;&gt;""))+SUMIFS('Programme de vols'!$E$521:$E$560,'Programme de vols'!$C$521:$C$560,"DIERUN",'Programme de vols'!$D$521:$D$560,"778",'Programme de vols'!$B$521:$B$560,"&gt;="&amp;$J$79,'Programme de vols'!$B$521:$B$560,"&lt;="&amp;$K$79)</f>
        <v>0</v>
      </c>
      <c r="D122" s="97" t="n">
        <f aca="false">SUMPRODUCT($C$80:$I$80,--(INDEX('Programme de vols'!$D$49:$J$513,68,0)&lt;&gt;""))+SUMIFS('Programme de vols'!$E$521:$E$560,'Programme de vols'!$C$521:$C$560,"DIERUN",'Programme de vols'!$D$521:$D$560,"778",'Programme de vols'!$B$521:$B$560,"&gt;="&amp;$J$80,'Programme de vols'!$B$521:$B$560,"&lt;="&amp;$K$80)</f>
        <v>0</v>
      </c>
      <c r="E122" s="97" t="n">
        <f aca="false">SUMPRODUCT($C$81:$I$81,--(INDEX('Programme de vols'!$D$49:$J$513,107,0)&lt;&gt;""))+SUMIFS('Programme de vols'!$E$521:$E$560,'Programme de vols'!$C$521:$C$560,"DIERUN",'Programme de vols'!$D$521:$D$560,"778",'Programme de vols'!$B$521:$B$560,"&gt;="&amp;$J$81,'Programme de vols'!$B$521:$B$560,"&lt;="&amp;$K$81)</f>
        <v>0</v>
      </c>
      <c r="F122" s="97" t="n">
        <f aca="false">SUMPRODUCT($C$82:$I$82,--(INDEX('Programme de vols'!$D$49:$J$513,146,0)&lt;&gt;""))+SUMIFS('Programme de vols'!$E$521:$E$560,'Programme de vols'!$C$521:$C$560,"DIERUN",'Programme de vols'!$D$521:$D$560,"778",'Programme de vols'!$B$521:$B$560,"&gt;="&amp;$J$82,'Programme de vols'!$B$521:$B$560,"&lt;="&amp;$K$82)</f>
        <v>0</v>
      </c>
      <c r="G122" s="97" t="n">
        <f aca="false">SUMPRODUCT($C$83:$I$83,--(INDEX('Programme de vols'!$D$49:$J$513,185,0)&lt;&gt;""))+SUMIFS('Programme de vols'!$E$521:$E$560,'Programme de vols'!$C$521:$C$560,"DIERUN",'Programme de vols'!$D$521:$D$560,"778",'Programme de vols'!$B$521:$B$560,"&gt;="&amp;$J$83,'Programme de vols'!$B$521:$B$560,"&lt;="&amp;$K$83)</f>
        <v>0</v>
      </c>
      <c r="H122" s="97" t="n">
        <f aca="false">SUMPRODUCT($C$84:$I$84,--(INDEX('Programme de vols'!$D$49:$J$513,224,0)&lt;&gt;""))+SUMIFS('Programme de vols'!$E$521:$E$560,'Programme de vols'!$C$521:$C$560,"DIERUN",'Programme de vols'!$D$521:$D$560,"778",'Programme de vols'!$B$521:$B$560,"&gt;="&amp;$J$84,'Programme de vols'!$B$521:$B$560,"&lt;="&amp;$K$84)</f>
        <v>0</v>
      </c>
      <c r="I122" s="97" t="n">
        <f aca="false">SUMPRODUCT($C$85:$I$85,--(INDEX('Programme de vols'!$D$49:$J$513,263,0)&lt;&gt;""))+SUMIFS('Programme de vols'!$E$521:$E$560,'Programme de vols'!$C$521:$C$560,"DIERUN",'Programme de vols'!$D$521:$D$560,"778",'Programme de vols'!$B$521:$B$560,"&gt;="&amp;$J$85,'Programme de vols'!$B$521:$B$560,"&lt;="&amp;$K$85)</f>
        <v>0</v>
      </c>
      <c r="J122" s="97" t="n">
        <f aca="false">SUMPRODUCT($C$86:$I$86,--(INDEX('Programme de vols'!$D$49:$J$513,302,0)&lt;&gt;""))+SUMIFS('Programme de vols'!$E$521:$E$560,'Programme de vols'!$C$521:$C$560,"DIERUN",'Programme de vols'!$D$521:$D$560,"778",'Programme de vols'!$B$521:$B$560,"&gt;="&amp;$J$86,'Programme de vols'!$B$521:$B$560,"&lt;="&amp;$K$86)</f>
        <v>0</v>
      </c>
      <c r="K122" s="97" t="n">
        <f aca="false">SUMPRODUCT($C$87:$I$87,--(INDEX('Programme de vols'!$D$49:$J$513,341,0)&lt;&gt;""))+SUMIFS('Programme de vols'!$E$521:$E$560,'Programme de vols'!$C$521:$C$560,"DIERUN",'Programme de vols'!$D$521:$D$560,"778",'Programme de vols'!$B$521:$B$560,"&gt;="&amp;$J$87,'Programme de vols'!$B$521:$B$560,"&lt;="&amp;$K$87)</f>
        <v>0</v>
      </c>
      <c r="L122" s="97" t="n">
        <f aca="false">SUMPRODUCT($C$88:$I$88,--(INDEX('Programme de vols'!$D$49:$J$513,380,0)&lt;&gt;""))+SUMIFS('Programme de vols'!$E$521:$E$560,'Programme de vols'!$C$521:$C$560,"DIERUN",'Programme de vols'!$D$521:$D$560,"778",'Programme de vols'!$B$521:$B$560,"&gt;="&amp;$J$88,'Programme de vols'!$B$521:$B$560,"&lt;="&amp;$K$88)</f>
        <v>0</v>
      </c>
      <c r="M122" s="97" t="n">
        <f aca="false">SUMPRODUCT($C$89:$I$89,--(INDEX('Programme de vols'!$D$49:$J$513,419,0)&lt;&gt;""))+SUMIFS('Programme de vols'!$E$521:$E$560,'Programme de vols'!$C$521:$C$560,"DIERUN",'Programme de vols'!$D$521:$D$560,"778",'Programme de vols'!$B$521:$B$560,"&gt;="&amp;$J$89,'Programme de vols'!$B$521:$B$560,"&lt;="&amp;$K$89)</f>
        <v>0</v>
      </c>
      <c r="N122" s="97" t="n">
        <f aca="false">SUMPRODUCT($C$90:$I$90,--(INDEX('Programme de vols'!$D$49:$J$513,458,0)&lt;&gt;""))+SUMIFS('Programme de vols'!$E$521:$E$560,'Programme de vols'!$C$521:$C$560,"DIERUN",'Programme de vols'!$D$521:$D$560,"778",'Programme de vols'!$B$521:$B$560,"&gt;="&amp;$J$90,'Programme de vols'!$B$521:$B$560,"&lt;="&amp;$K$90)</f>
        <v>0</v>
      </c>
      <c r="O122" s="12" t="s">
        <v>55</v>
      </c>
      <c r="P122" s="12" t="s">
        <v>18</v>
      </c>
    </row>
    <row r="123" customFormat="false" ht="15" hidden="false" customHeight="false" outlineLevel="0" collapsed="false">
      <c r="B123" s="10" t="s">
        <v>131</v>
      </c>
      <c r="C123" s="97" t="n">
        <f aca="false">SUMPRODUCT($C$79:$I$79,--(INDEX('Programme de vols'!$D$49:$J$513,30,0)&lt;&gt;""))+SUMIFS('Programme de vols'!$E$521:$E$560,'Programme de vols'!$C$521:$C$560,"DIERUN",'Programme de vols'!$D$521:$D$560,"A320",'Programme de vols'!$B$521:$B$560,"&gt;="&amp;$J$79,'Programme de vols'!$B$521:$B$560,"&lt;="&amp;$K$79)</f>
        <v>8</v>
      </c>
      <c r="D123" s="97" t="n">
        <f aca="false">SUMPRODUCT($C$80:$I$80,--(INDEX('Programme de vols'!$D$49:$J$513,69,0)&lt;&gt;""))+SUMIFS('Programme de vols'!$E$521:$E$560,'Programme de vols'!$C$521:$C$560,"DIERUN",'Programme de vols'!$D$521:$D$560,"A320",'Programme de vols'!$B$521:$B$560,"&gt;="&amp;$J$80,'Programme de vols'!$B$521:$B$560,"&lt;="&amp;$K$80)</f>
        <v>9</v>
      </c>
      <c r="E123" s="97" t="n">
        <f aca="false">SUMPRODUCT($C$81:$I$81,--(INDEX('Programme de vols'!$D$49:$J$513,108,0)&lt;&gt;""))+SUMIFS('Programme de vols'!$E$521:$E$560,'Programme de vols'!$C$521:$C$560,"DIERUN",'Programme de vols'!$D$521:$D$560,"A320",'Programme de vols'!$B$521:$B$560,"&gt;="&amp;$J$81,'Programme de vols'!$B$521:$B$560,"&lt;="&amp;$K$81)</f>
        <v>9</v>
      </c>
      <c r="F123" s="97" t="n">
        <f aca="false">SUMPRODUCT($C$82:$I$82,--(INDEX('Programme de vols'!$D$49:$J$513,147,0)&lt;&gt;""))+SUMIFS('Programme de vols'!$E$521:$E$560,'Programme de vols'!$C$521:$C$560,"DIERUN",'Programme de vols'!$D$521:$D$560,"A320",'Programme de vols'!$B$521:$B$560,"&gt;="&amp;$J$82,'Programme de vols'!$B$521:$B$560,"&lt;="&amp;$K$82)</f>
        <v>9</v>
      </c>
      <c r="G123" s="97" t="n">
        <f aca="false">SUMPRODUCT($C$83:$I$83,--(INDEX('Programme de vols'!$D$49:$J$513,186,0)&lt;&gt;""))+SUMIFS('Programme de vols'!$E$521:$E$560,'Programme de vols'!$C$521:$C$560,"DIERUN",'Programme de vols'!$D$521:$D$560,"A320",'Programme de vols'!$B$521:$B$560,"&gt;="&amp;$J$83,'Programme de vols'!$B$521:$B$560,"&lt;="&amp;$K$83)</f>
        <v>9</v>
      </c>
      <c r="H123" s="97" t="n">
        <f aca="false">SUMPRODUCT($C$84:$I$84,--(INDEX('Programme de vols'!$D$49:$J$513,225,0)&lt;&gt;""))+SUMIFS('Programme de vols'!$E$521:$E$560,'Programme de vols'!$C$521:$C$560,"DIERUN",'Programme de vols'!$D$521:$D$560,"A320",'Programme de vols'!$B$521:$B$560,"&gt;="&amp;$J$84,'Programme de vols'!$B$521:$B$560,"&lt;="&amp;$K$84)</f>
        <v>8</v>
      </c>
      <c r="I123" s="97" t="n">
        <f aca="false">SUMPRODUCT($C$85:$I$85,--(INDEX('Programme de vols'!$D$49:$J$513,264,0)&lt;&gt;""))+SUMIFS('Programme de vols'!$E$521:$E$560,'Programme de vols'!$C$521:$C$560,"DIERUN",'Programme de vols'!$D$521:$D$560,"A320",'Programme de vols'!$B$521:$B$560,"&gt;="&amp;$J$85,'Programme de vols'!$B$521:$B$560,"&lt;="&amp;$K$85)</f>
        <v>9</v>
      </c>
      <c r="J123" s="97" t="n">
        <f aca="false">SUMPRODUCT($C$86:$I$86,--(INDEX('Programme de vols'!$D$49:$J$513,303,0)&lt;&gt;""))+SUMIFS('Programme de vols'!$E$521:$E$560,'Programme de vols'!$C$521:$C$560,"DIERUN",'Programme de vols'!$D$521:$D$560,"A320",'Programme de vols'!$B$521:$B$560,"&gt;="&amp;$J$86,'Programme de vols'!$B$521:$B$560,"&lt;="&amp;$K$86)</f>
        <v>9</v>
      </c>
      <c r="K123" s="97" t="n">
        <f aca="false">SUMPRODUCT($C$87:$I$87,--(INDEX('Programme de vols'!$D$49:$J$513,342,0)&lt;&gt;""))+SUMIFS('Programme de vols'!$E$521:$E$560,'Programme de vols'!$C$521:$C$560,"DIERUN",'Programme de vols'!$D$521:$D$560,"A320",'Programme de vols'!$B$521:$B$560,"&gt;="&amp;$J$87,'Programme de vols'!$B$521:$B$560,"&lt;="&amp;$K$87)</f>
        <v>8</v>
      </c>
      <c r="L123" s="97" t="n">
        <f aca="false">SUMPRODUCT($C$88:$I$88,--(INDEX('Programme de vols'!$D$49:$J$513,381,0)&lt;&gt;""))+SUMIFS('Programme de vols'!$E$521:$E$560,'Programme de vols'!$C$521:$C$560,"DIERUN",'Programme de vols'!$D$521:$D$560,"A320",'Programme de vols'!$B$521:$B$560,"&gt;="&amp;$J$88,'Programme de vols'!$B$521:$B$560,"&lt;="&amp;$K$88)</f>
        <v>9</v>
      </c>
      <c r="M123" s="97" t="n">
        <f aca="false">SUMPRODUCT($C$89:$I$89,--(INDEX('Programme de vols'!$D$49:$J$513,420,0)&lt;&gt;""))+SUMIFS('Programme de vols'!$E$521:$E$560,'Programme de vols'!$C$521:$C$560,"DIERUN",'Programme de vols'!$D$521:$D$560,"A320",'Programme de vols'!$B$521:$B$560,"&gt;="&amp;$J$89,'Programme de vols'!$B$521:$B$560,"&lt;="&amp;$K$89)</f>
        <v>9</v>
      </c>
      <c r="N123" s="97" t="n">
        <f aca="false">SUMPRODUCT($C$90:$I$90,--(INDEX('Programme de vols'!$D$49:$J$513,459,0)&lt;&gt;""))+SUMIFS('Programme de vols'!$E$521:$E$560,'Programme de vols'!$C$521:$C$560,"DIERUN",'Programme de vols'!$D$521:$D$560,"A320",'Programme de vols'!$B$521:$B$560,"&gt;="&amp;$J$90,'Programme de vols'!$B$521:$B$560,"&lt;="&amp;$K$90)</f>
        <v>8</v>
      </c>
      <c r="O123" s="12" t="s">
        <v>55</v>
      </c>
      <c r="P123" s="12" t="s">
        <v>23</v>
      </c>
    </row>
    <row r="124" customFormat="false" ht="15" hidden="false" customHeight="false" outlineLevel="0" collapsed="false">
      <c r="B124" s="10" t="s">
        <v>132</v>
      </c>
      <c r="C124" s="97" t="n">
        <f aca="false">SUMPRODUCT($C$79:$I$79,--(INDEX('Programme de vols'!$D$49:$J$513,31,0)&lt;&gt;""))+SUMIFS('Programme de vols'!$E$521:$E$560,'Programme de vols'!$C$521:$C$560,"RRGRUN",'Programme de vols'!$D$521:$D$560,"77W",'Programme de vols'!$B$521:$B$560,"&gt;="&amp;$J$79,'Programme de vols'!$B$521:$B$560,"&lt;="&amp;$K$79)</f>
        <v>0</v>
      </c>
      <c r="D124" s="97" t="n">
        <f aca="false">SUMPRODUCT($C$80:$I$80,--(INDEX('Programme de vols'!$D$49:$J$513,70,0)&lt;&gt;""))+SUMIFS('Programme de vols'!$E$521:$E$560,'Programme de vols'!$C$521:$C$560,"RRGRUN",'Programme de vols'!$D$521:$D$560,"77W",'Programme de vols'!$B$521:$B$560,"&gt;="&amp;$J$80,'Programme de vols'!$B$521:$B$560,"&lt;="&amp;$K$80)</f>
        <v>0</v>
      </c>
      <c r="E124" s="97" t="n">
        <f aca="false">SUMPRODUCT($C$81:$I$81,--(INDEX('Programme de vols'!$D$49:$J$513,109,0)&lt;&gt;""))+SUMIFS('Programme de vols'!$E$521:$E$560,'Programme de vols'!$C$521:$C$560,"RRGRUN",'Programme de vols'!$D$521:$D$560,"77W",'Programme de vols'!$B$521:$B$560,"&gt;="&amp;$J$81,'Programme de vols'!$B$521:$B$560,"&lt;="&amp;$K$81)</f>
        <v>0</v>
      </c>
      <c r="F124" s="97" t="n">
        <f aca="false">SUMPRODUCT($C$82:$I$82,--(INDEX('Programme de vols'!$D$49:$J$513,148,0)&lt;&gt;""))+SUMIFS('Programme de vols'!$E$521:$E$560,'Programme de vols'!$C$521:$C$560,"RRGRUN",'Programme de vols'!$D$521:$D$560,"77W",'Programme de vols'!$B$521:$B$560,"&gt;="&amp;$J$82,'Programme de vols'!$B$521:$B$560,"&lt;="&amp;$K$82)</f>
        <v>0</v>
      </c>
      <c r="G124" s="97" t="n">
        <f aca="false">SUMPRODUCT($C$83:$I$83,--(INDEX('Programme de vols'!$D$49:$J$513,187,0)&lt;&gt;""))+SUMIFS('Programme de vols'!$E$521:$E$560,'Programme de vols'!$C$521:$C$560,"RRGRUN",'Programme de vols'!$D$521:$D$560,"77W",'Programme de vols'!$B$521:$B$560,"&gt;="&amp;$J$83,'Programme de vols'!$B$521:$B$560,"&lt;="&amp;$K$83)</f>
        <v>0</v>
      </c>
      <c r="H124" s="97" t="n">
        <f aca="false">SUMPRODUCT($C$84:$I$84,--(INDEX('Programme de vols'!$D$49:$J$513,226,0)&lt;&gt;""))+SUMIFS('Programme de vols'!$E$521:$E$560,'Programme de vols'!$C$521:$C$560,"RRGRUN",'Programme de vols'!$D$521:$D$560,"77W",'Programme de vols'!$B$521:$B$560,"&gt;="&amp;$J$84,'Programme de vols'!$B$521:$B$560,"&lt;="&amp;$K$84)</f>
        <v>0</v>
      </c>
      <c r="I124" s="97" t="n">
        <f aca="false">SUMPRODUCT($C$85:$I$85,--(INDEX('Programme de vols'!$D$49:$J$513,265,0)&lt;&gt;""))+SUMIFS('Programme de vols'!$E$521:$E$560,'Programme de vols'!$C$521:$C$560,"RRGRUN",'Programme de vols'!$D$521:$D$560,"77W",'Programme de vols'!$B$521:$B$560,"&gt;="&amp;$J$85,'Programme de vols'!$B$521:$B$560,"&lt;="&amp;$K$85)</f>
        <v>0</v>
      </c>
      <c r="J124" s="97" t="n">
        <f aca="false">SUMPRODUCT($C$86:$I$86,--(INDEX('Programme de vols'!$D$49:$J$513,304,0)&lt;&gt;""))+SUMIFS('Programme de vols'!$E$521:$E$560,'Programme de vols'!$C$521:$C$560,"RRGRUN",'Programme de vols'!$D$521:$D$560,"77W",'Programme de vols'!$B$521:$B$560,"&gt;="&amp;$J$86,'Programme de vols'!$B$521:$B$560,"&lt;="&amp;$K$86)</f>
        <v>0</v>
      </c>
      <c r="K124" s="97" t="n">
        <f aca="false">SUMPRODUCT($C$87:$I$87,--(INDEX('Programme de vols'!$D$49:$J$513,343,0)&lt;&gt;""))+SUMIFS('Programme de vols'!$E$521:$E$560,'Programme de vols'!$C$521:$C$560,"RRGRUN",'Programme de vols'!$D$521:$D$560,"77W",'Programme de vols'!$B$521:$B$560,"&gt;="&amp;$J$87,'Programme de vols'!$B$521:$B$560,"&lt;="&amp;$K$87)</f>
        <v>0</v>
      </c>
      <c r="L124" s="97" t="n">
        <f aca="false">SUMPRODUCT($C$88:$I$88,--(INDEX('Programme de vols'!$D$49:$J$513,382,0)&lt;&gt;""))+SUMIFS('Programme de vols'!$E$521:$E$560,'Programme de vols'!$C$521:$C$560,"RRGRUN",'Programme de vols'!$D$521:$D$560,"77W",'Programme de vols'!$B$521:$B$560,"&gt;="&amp;$J$88,'Programme de vols'!$B$521:$B$560,"&lt;="&amp;$K$88)</f>
        <v>0</v>
      </c>
      <c r="M124" s="97" t="n">
        <f aca="false">SUMPRODUCT($C$89:$I$89,--(INDEX('Programme de vols'!$D$49:$J$513,421,0)&lt;&gt;""))+SUMIFS('Programme de vols'!$E$521:$E$560,'Programme de vols'!$C$521:$C$560,"RRGRUN",'Programme de vols'!$D$521:$D$560,"77W",'Programme de vols'!$B$521:$B$560,"&gt;="&amp;$J$89,'Programme de vols'!$B$521:$B$560,"&lt;="&amp;$K$89)</f>
        <v>0</v>
      </c>
      <c r="N124" s="97" t="n">
        <f aca="false">SUMPRODUCT($C$90:$I$90,--(INDEX('Programme de vols'!$D$49:$J$513,460,0)&lt;&gt;""))+SUMIFS('Programme de vols'!$E$521:$E$560,'Programme de vols'!$C$521:$C$560,"RRGRUN",'Programme de vols'!$D$521:$D$560,"77W",'Programme de vols'!$B$521:$B$560,"&gt;="&amp;$J$90,'Programme de vols'!$B$521:$B$560,"&lt;="&amp;$K$90)</f>
        <v>0</v>
      </c>
      <c r="O124" s="12" t="s">
        <v>58</v>
      </c>
      <c r="P124" s="12" t="s">
        <v>11</v>
      </c>
    </row>
    <row r="125" customFormat="false" ht="15" hidden="false" customHeight="false" outlineLevel="0" collapsed="false">
      <c r="B125" s="10" t="s">
        <v>133</v>
      </c>
      <c r="C125" s="97" t="n">
        <f aca="false">SUMPRODUCT($C$79:$I$79,--(INDEX('Programme de vols'!$D$49:$J$513,32,0)&lt;&gt;""))+SUMIFS('Programme de vols'!$E$521:$E$560,'Programme de vols'!$C$521:$C$560,"RRGRUN",'Programme de vols'!$D$521:$D$560,"778",'Programme de vols'!$B$521:$B$560,"&gt;="&amp;$J$79,'Programme de vols'!$B$521:$B$560,"&lt;="&amp;$K$79)</f>
        <v>0</v>
      </c>
      <c r="D125" s="97" t="n">
        <f aca="false">SUMPRODUCT($C$80:$I$80,--(INDEX('Programme de vols'!$D$49:$J$513,71,0)&lt;&gt;""))+SUMIFS('Programme de vols'!$E$521:$E$560,'Programme de vols'!$C$521:$C$560,"RRGRUN",'Programme de vols'!$D$521:$D$560,"778",'Programme de vols'!$B$521:$B$560,"&gt;="&amp;$J$80,'Programme de vols'!$B$521:$B$560,"&lt;="&amp;$K$80)</f>
        <v>0</v>
      </c>
      <c r="E125" s="97" t="n">
        <f aca="false">SUMPRODUCT($C$81:$I$81,--(INDEX('Programme de vols'!$D$49:$J$513,110,0)&lt;&gt;""))+SUMIFS('Programme de vols'!$E$521:$E$560,'Programme de vols'!$C$521:$C$560,"RRGRUN",'Programme de vols'!$D$521:$D$560,"778",'Programme de vols'!$B$521:$B$560,"&gt;="&amp;$J$81,'Programme de vols'!$B$521:$B$560,"&lt;="&amp;$K$81)</f>
        <v>0</v>
      </c>
      <c r="F125" s="97" t="n">
        <f aca="false">SUMPRODUCT($C$82:$I$82,--(INDEX('Programme de vols'!$D$49:$J$513,149,0)&lt;&gt;""))+SUMIFS('Programme de vols'!$E$521:$E$560,'Programme de vols'!$C$521:$C$560,"RRGRUN",'Programme de vols'!$D$521:$D$560,"778",'Programme de vols'!$B$521:$B$560,"&gt;="&amp;$J$82,'Programme de vols'!$B$521:$B$560,"&lt;="&amp;$K$82)</f>
        <v>0</v>
      </c>
      <c r="G125" s="97" t="n">
        <f aca="false">SUMPRODUCT($C$83:$I$83,--(INDEX('Programme de vols'!$D$49:$J$513,188,0)&lt;&gt;""))+SUMIFS('Programme de vols'!$E$521:$E$560,'Programme de vols'!$C$521:$C$560,"RRGRUN",'Programme de vols'!$D$521:$D$560,"778",'Programme de vols'!$B$521:$B$560,"&gt;="&amp;$J$83,'Programme de vols'!$B$521:$B$560,"&lt;="&amp;$K$83)</f>
        <v>0</v>
      </c>
      <c r="H125" s="97" t="n">
        <f aca="false">SUMPRODUCT($C$84:$I$84,--(INDEX('Programme de vols'!$D$49:$J$513,227,0)&lt;&gt;""))+SUMIFS('Programme de vols'!$E$521:$E$560,'Programme de vols'!$C$521:$C$560,"RRGRUN",'Programme de vols'!$D$521:$D$560,"778",'Programme de vols'!$B$521:$B$560,"&gt;="&amp;$J$84,'Programme de vols'!$B$521:$B$560,"&lt;="&amp;$K$84)</f>
        <v>0</v>
      </c>
      <c r="I125" s="97" t="n">
        <f aca="false">SUMPRODUCT($C$85:$I$85,--(INDEX('Programme de vols'!$D$49:$J$513,266,0)&lt;&gt;""))+SUMIFS('Programme de vols'!$E$521:$E$560,'Programme de vols'!$C$521:$C$560,"RRGRUN",'Programme de vols'!$D$521:$D$560,"778",'Programme de vols'!$B$521:$B$560,"&gt;="&amp;$J$85,'Programme de vols'!$B$521:$B$560,"&lt;="&amp;$K$85)</f>
        <v>0</v>
      </c>
      <c r="J125" s="97" t="n">
        <f aca="false">SUMPRODUCT($C$86:$I$86,--(INDEX('Programme de vols'!$D$49:$J$513,305,0)&lt;&gt;""))+SUMIFS('Programme de vols'!$E$521:$E$560,'Programme de vols'!$C$521:$C$560,"RRGRUN",'Programme de vols'!$D$521:$D$560,"778",'Programme de vols'!$B$521:$B$560,"&gt;="&amp;$J$86,'Programme de vols'!$B$521:$B$560,"&lt;="&amp;$K$86)</f>
        <v>0</v>
      </c>
      <c r="K125" s="97" t="n">
        <f aca="false">SUMPRODUCT($C$87:$I$87,--(INDEX('Programme de vols'!$D$49:$J$513,344,0)&lt;&gt;""))+SUMIFS('Programme de vols'!$E$521:$E$560,'Programme de vols'!$C$521:$C$560,"RRGRUN",'Programme de vols'!$D$521:$D$560,"778",'Programme de vols'!$B$521:$B$560,"&gt;="&amp;$J$87,'Programme de vols'!$B$521:$B$560,"&lt;="&amp;$K$87)</f>
        <v>0</v>
      </c>
      <c r="L125" s="97" t="n">
        <f aca="false">SUMPRODUCT($C$88:$I$88,--(INDEX('Programme de vols'!$D$49:$J$513,383,0)&lt;&gt;""))+SUMIFS('Programme de vols'!$E$521:$E$560,'Programme de vols'!$C$521:$C$560,"RRGRUN",'Programme de vols'!$D$521:$D$560,"778",'Programme de vols'!$B$521:$B$560,"&gt;="&amp;$J$88,'Programme de vols'!$B$521:$B$560,"&lt;="&amp;$K$88)</f>
        <v>0</v>
      </c>
      <c r="M125" s="97" t="n">
        <f aca="false">SUMPRODUCT($C$89:$I$89,--(INDEX('Programme de vols'!$D$49:$J$513,422,0)&lt;&gt;""))+SUMIFS('Programme de vols'!$E$521:$E$560,'Programme de vols'!$C$521:$C$560,"RRGRUN",'Programme de vols'!$D$521:$D$560,"778",'Programme de vols'!$B$521:$B$560,"&gt;="&amp;$J$89,'Programme de vols'!$B$521:$B$560,"&lt;="&amp;$K$89)</f>
        <v>0</v>
      </c>
      <c r="N125" s="97" t="n">
        <f aca="false">SUMPRODUCT($C$90:$I$90,--(INDEX('Programme de vols'!$D$49:$J$513,461,0)&lt;&gt;""))+SUMIFS('Programme de vols'!$E$521:$E$560,'Programme de vols'!$C$521:$C$560,"RRGRUN",'Programme de vols'!$D$521:$D$560,"778",'Programme de vols'!$B$521:$B$560,"&gt;="&amp;$J$90,'Programme de vols'!$B$521:$B$560,"&lt;="&amp;$K$90)</f>
        <v>0</v>
      </c>
      <c r="O125" s="12" t="s">
        <v>58</v>
      </c>
      <c r="P125" s="12" t="s">
        <v>18</v>
      </c>
    </row>
    <row r="126" customFormat="false" ht="15" hidden="false" customHeight="false" outlineLevel="0" collapsed="false">
      <c r="B126" s="10" t="s">
        <v>134</v>
      </c>
      <c r="C126" s="97" t="n">
        <f aca="false">SUMPRODUCT($C$79:$I$79,--(INDEX('Programme de vols'!$D$49:$J$513,33,0)&lt;&gt;""))+SUMIFS('Programme de vols'!$E$521:$E$560,'Programme de vols'!$C$521:$C$560,"RRGRUN",'Programme de vols'!$D$521:$D$560,"A320",'Programme de vols'!$B$521:$B$560,"&gt;="&amp;$J$79,'Programme de vols'!$B$521:$B$560,"&lt;="&amp;$K$79)</f>
        <v>26</v>
      </c>
      <c r="D126" s="97" t="n">
        <f aca="false">SUMPRODUCT($C$80:$I$80,--(INDEX('Programme de vols'!$D$49:$J$513,72,0)&lt;&gt;""))+SUMIFS('Programme de vols'!$E$521:$E$560,'Programme de vols'!$C$521:$C$560,"RRGRUN",'Programme de vols'!$D$521:$D$560,"A320",'Programme de vols'!$B$521:$B$560,"&gt;="&amp;$J$80,'Programme de vols'!$B$521:$B$560,"&lt;="&amp;$K$80)</f>
        <v>26</v>
      </c>
      <c r="E126" s="97" t="n">
        <f aca="false">SUMPRODUCT($C$81:$I$81,--(INDEX('Programme de vols'!$D$49:$J$513,111,0)&lt;&gt;""))+SUMIFS('Programme de vols'!$E$521:$E$560,'Programme de vols'!$C$521:$C$560,"RRGRUN",'Programme de vols'!$D$521:$D$560,"A320",'Programme de vols'!$B$521:$B$560,"&gt;="&amp;$J$81,'Programme de vols'!$B$521:$B$560,"&lt;="&amp;$K$81)</f>
        <v>26</v>
      </c>
      <c r="F126" s="97" t="n">
        <f aca="false">SUMPRODUCT($C$82:$I$82,--(INDEX('Programme de vols'!$D$49:$J$513,150,0)&lt;&gt;""))+SUMIFS('Programme de vols'!$E$521:$E$560,'Programme de vols'!$C$521:$C$560,"RRGRUN",'Programme de vols'!$D$521:$D$560,"A320",'Programme de vols'!$B$521:$B$560,"&gt;="&amp;$J$82,'Programme de vols'!$B$521:$B$560,"&lt;="&amp;$K$82)</f>
        <v>27</v>
      </c>
      <c r="G126" s="97" t="n">
        <f aca="false">SUMPRODUCT($C$83:$I$83,--(INDEX('Programme de vols'!$D$49:$J$513,189,0)&lt;&gt;""))+SUMIFS('Programme de vols'!$E$521:$E$560,'Programme de vols'!$C$521:$C$560,"RRGRUN",'Programme de vols'!$D$521:$D$560,"A320",'Programme de vols'!$B$521:$B$560,"&gt;="&amp;$J$83,'Programme de vols'!$B$521:$B$560,"&lt;="&amp;$K$83)</f>
        <v>26</v>
      </c>
      <c r="H126" s="97" t="n">
        <f aca="false">SUMPRODUCT($C$84:$I$84,--(INDEX('Programme de vols'!$D$49:$J$513,228,0)&lt;&gt;""))+SUMIFS('Programme de vols'!$E$521:$E$560,'Programme de vols'!$C$521:$C$560,"RRGRUN",'Programme de vols'!$D$521:$D$560,"A320",'Programme de vols'!$B$521:$B$560,"&gt;="&amp;$J$84,'Programme de vols'!$B$521:$B$560,"&lt;="&amp;$K$84)</f>
        <v>26</v>
      </c>
      <c r="I126" s="97" t="n">
        <f aca="false">SUMPRODUCT($C$85:$I$85,--(INDEX('Programme de vols'!$D$49:$J$513,267,0)&lt;&gt;""))+SUMIFS('Programme de vols'!$E$521:$E$560,'Programme de vols'!$C$521:$C$560,"RRGRUN",'Programme de vols'!$D$521:$D$560,"A320",'Programme de vols'!$B$521:$B$560,"&gt;="&amp;$J$85,'Programme de vols'!$B$521:$B$560,"&lt;="&amp;$K$85)</f>
        <v>26</v>
      </c>
      <c r="J126" s="97" t="n">
        <f aca="false">SUMPRODUCT($C$86:$I$86,--(INDEX('Programme de vols'!$D$49:$J$513,306,0)&lt;&gt;""))+SUMIFS('Programme de vols'!$E$521:$E$560,'Programme de vols'!$C$521:$C$560,"RRGRUN",'Programme de vols'!$D$521:$D$560,"A320",'Programme de vols'!$B$521:$B$560,"&gt;="&amp;$J$86,'Programme de vols'!$B$521:$B$560,"&lt;="&amp;$K$86)</f>
        <v>26</v>
      </c>
      <c r="K126" s="97" t="n">
        <f aca="false">SUMPRODUCT($C$87:$I$87,--(INDEX('Programme de vols'!$D$49:$J$513,345,0)&lt;&gt;""))+SUMIFS('Programme de vols'!$E$521:$E$560,'Programme de vols'!$C$521:$C$560,"RRGRUN",'Programme de vols'!$D$521:$D$560,"A320",'Programme de vols'!$B$521:$B$560,"&gt;="&amp;$J$87,'Programme de vols'!$B$521:$B$560,"&lt;="&amp;$K$87)</f>
        <v>27</v>
      </c>
      <c r="L126" s="97" t="n">
        <f aca="false">SUMPRODUCT($C$88:$I$88,--(INDEX('Programme de vols'!$D$49:$J$513,384,0)&lt;&gt;""))+SUMIFS('Programme de vols'!$E$521:$E$560,'Programme de vols'!$C$521:$C$560,"RRGRUN",'Programme de vols'!$D$521:$D$560,"A320",'Programme de vols'!$B$521:$B$560,"&gt;="&amp;$J$88,'Programme de vols'!$B$521:$B$560,"&lt;="&amp;$K$88)</f>
        <v>26</v>
      </c>
      <c r="M126" s="97" t="n">
        <f aca="false">SUMPRODUCT($C$89:$I$89,--(INDEX('Programme de vols'!$D$49:$J$513,423,0)&lt;&gt;""))+SUMIFS('Programme de vols'!$E$521:$E$560,'Programme de vols'!$C$521:$C$560,"RRGRUN",'Programme de vols'!$D$521:$D$560,"A320",'Programme de vols'!$B$521:$B$560,"&gt;="&amp;$J$89,'Programme de vols'!$B$521:$B$560,"&lt;="&amp;$K$89)</f>
        <v>25</v>
      </c>
      <c r="N126" s="97" t="n">
        <f aca="false">SUMPRODUCT($C$90:$I$90,--(INDEX('Programme de vols'!$D$49:$J$513,462,0)&lt;&gt;""))+SUMIFS('Programme de vols'!$E$521:$E$560,'Programme de vols'!$C$521:$C$560,"RRGRUN",'Programme de vols'!$D$521:$D$560,"A320",'Programme de vols'!$B$521:$B$560,"&gt;="&amp;$J$90,'Programme de vols'!$B$521:$B$560,"&lt;="&amp;$K$90)</f>
        <v>27</v>
      </c>
      <c r="O126" s="12" t="s">
        <v>58</v>
      </c>
      <c r="P126" s="12" t="s">
        <v>23</v>
      </c>
    </row>
    <row r="127" customFormat="false" ht="15" hidden="false" customHeight="false" outlineLevel="0" collapsed="false">
      <c r="B127" s="10" t="s">
        <v>135</v>
      </c>
      <c r="C127" s="97" t="n">
        <f aca="false">SUMPRODUCT($C$79:$I$79,--(INDEX('Programme de vols'!$D$49:$J$513,34,0)&lt;&gt;""))+SUMIFS('Programme de vols'!$E$521:$E$560,'Programme de vols'!$C$521:$C$560,"TMMRUN",'Programme de vols'!$D$521:$D$560,"77W",'Programme de vols'!$B$521:$B$560,"&gt;="&amp;$J$79,'Programme de vols'!$B$521:$B$560,"&lt;="&amp;$K$79)</f>
        <v>0</v>
      </c>
      <c r="D127" s="97" t="n">
        <f aca="false">SUMPRODUCT($C$80:$I$80,--(INDEX('Programme de vols'!$D$49:$J$513,73,0)&lt;&gt;""))+SUMIFS('Programme de vols'!$E$521:$E$560,'Programme de vols'!$C$521:$C$560,"TMMRUN",'Programme de vols'!$D$521:$D$560,"77W",'Programme de vols'!$B$521:$B$560,"&gt;="&amp;$J$80,'Programme de vols'!$B$521:$B$560,"&lt;="&amp;$K$80)</f>
        <v>0</v>
      </c>
      <c r="E127" s="97" t="n">
        <f aca="false">SUMPRODUCT($C$81:$I$81,--(INDEX('Programme de vols'!$D$49:$J$513,112,0)&lt;&gt;""))+SUMIFS('Programme de vols'!$E$521:$E$560,'Programme de vols'!$C$521:$C$560,"TMMRUN",'Programme de vols'!$D$521:$D$560,"77W",'Programme de vols'!$B$521:$B$560,"&gt;="&amp;$J$81,'Programme de vols'!$B$521:$B$560,"&lt;="&amp;$K$81)</f>
        <v>0</v>
      </c>
      <c r="F127" s="97" t="n">
        <f aca="false">SUMPRODUCT($C$82:$I$82,--(INDEX('Programme de vols'!$D$49:$J$513,151,0)&lt;&gt;""))+SUMIFS('Programme de vols'!$E$521:$E$560,'Programme de vols'!$C$521:$C$560,"TMMRUN",'Programme de vols'!$D$521:$D$560,"77W",'Programme de vols'!$B$521:$B$560,"&gt;="&amp;$J$82,'Programme de vols'!$B$521:$B$560,"&lt;="&amp;$K$82)</f>
        <v>0</v>
      </c>
      <c r="G127" s="97" t="n">
        <f aca="false">SUMPRODUCT($C$83:$I$83,--(INDEX('Programme de vols'!$D$49:$J$513,190,0)&lt;&gt;""))+SUMIFS('Programme de vols'!$E$521:$E$560,'Programme de vols'!$C$521:$C$560,"TMMRUN",'Programme de vols'!$D$521:$D$560,"77W",'Programme de vols'!$B$521:$B$560,"&gt;="&amp;$J$83,'Programme de vols'!$B$521:$B$560,"&lt;="&amp;$K$83)</f>
        <v>0</v>
      </c>
      <c r="H127" s="97" t="n">
        <f aca="false">SUMPRODUCT($C$84:$I$84,--(INDEX('Programme de vols'!$D$49:$J$513,229,0)&lt;&gt;""))+SUMIFS('Programme de vols'!$E$521:$E$560,'Programme de vols'!$C$521:$C$560,"TMMRUN",'Programme de vols'!$D$521:$D$560,"77W",'Programme de vols'!$B$521:$B$560,"&gt;="&amp;$J$84,'Programme de vols'!$B$521:$B$560,"&lt;="&amp;$K$84)</f>
        <v>0</v>
      </c>
      <c r="I127" s="97" t="n">
        <f aca="false">SUMPRODUCT($C$85:$I$85,--(INDEX('Programme de vols'!$D$49:$J$513,268,0)&lt;&gt;""))+SUMIFS('Programme de vols'!$E$521:$E$560,'Programme de vols'!$C$521:$C$560,"TMMRUN",'Programme de vols'!$D$521:$D$560,"77W",'Programme de vols'!$B$521:$B$560,"&gt;="&amp;$J$85,'Programme de vols'!$B$521:$B$560,"&lt;="&amp;$K$85)</f>
        <v>0</v>
      </c>
      <c r="J127" s="97" t="n">
        <f aca="false">SUMPRODUCT($C$86:$I$86,--(INDEX('Programme de vols'!$D$49:$J$513,307,0)&lt;&gt;""))+SUMIFS('Programme de vols'!$E$521:$E$560,'Programme de vols'!$C$521:$C$560,"TMMRUN",'Programme de vols'!$D$521:$D$560,"77W",'Programme de vols'!$B$521:$B$560,"&gt;="&amp;$J$86,'Programme de vols'!$B$521:$B$560,"&lt;="&amp;$K$86)</f>
        <v>0</v>
      </c>
      <c r="K127" s="97" t="n">
        <f aca="false">SUMPRODUCT($C$87:$I$87,--(INDEX('Programme de vols'!$D$49:$J$513,346,0)&lt;&gt;""))+SUMIFS('Programme de vols'!$E$521:$E$560,'Programme de vols'!$C$521:$C$560,"TMMRUN",'Programme de vols'!$D$521:$D$560,"77W",'Programme de vols'!$B$521:$B$560,"&gt;="&amp;$J$87,'Programme de vols'!$B$521:$B$560,"&lt;="&amp;$K$87)</f>
        <v>0</v>
      </c>
      <c r="L127" s="97" t="n">
        <f aca="false">SUMPRODUCT($C$88:$I$88,--(INDEX('Programme de vols'!$D$49:$J$513,385,0)&lt;&gt;""))+SUMIFS('Programme de vols'!$E$521:$E$560,'Programme de vols'!$C$521:$C$560,"TMMRUN",'Programme de vols'!$D$521:$D$560,"77W",'Programme de vols'!$B$521:$B$560,"&gt;="&amp;$J$88,'Programme de vols'!$B$521:$B$560,"&lt;="&amp;$K$88)</f>
        <v>0</v>
      </c>
      <c r="M127" s="97" t="n">
        <f aca="false">SUMPRODUCT($C$89:$I$89,--(INDEX('Programme de vols'!$D$49:$J$513,424,0)&lt;&gt;""))+SUMIFS('Programme de vols'!$E$521:$E$560,'Programme de vols'!$C$521:$C$560,"TMMRUN",'Programme de vols'!$D$521:$D$560,"77W",'Programme de vols'!$B$521:$B$560,"&gt;="&amp;$J$89,'Programme de vols'!$B$521:$B$560,"&lt;="&amp;$K$89)</f>
        <v>0</v>
      </c>
      <c r="N127" s="97" t="n">
        <f aca="false">SUMPRODUCT($C$90:$I$90,--(INDEX('Programme de vols'!$D$49:$J$513,463,0)&lt;&gt;""))+SUMIFS('Programme de vols'!$E$521:$E$560,'Programme de vols'!$C$521:$C$560,"TMMRUN",'Programme de vols'!$D$521:$D$560,"77W",'Programme de vols'!$B$521:$B$560,"&gt;="&amp;$J$90,'Programme de vols'!$B$521:$B$560,"&lt;="&amp;$K$90)</f>
        <v>0</v>
      </c>
      <c r="O127" s="12" t="s">
        <v>61</v>
      </c>
      <c r="P127" s="12" t="s">
        <v>11</v>
      </c>
    </row>
    <row r="128" customFormat="false" ht="15" hidden="false" customHeight="false" outlineLevel="0" collapsed="false">
      <c r="B128" s="10" t="s">
        <v>136</v>
      </c>
      <c r="C128" s="97" t="n">
        <f aca="false">SUMPRODUCT($C$79:$I$79,--(INDEX('Programme de vols'!$D$49:$J$513,35,0)&lt;&gt;""))+SUMIFS('Programme de vols'!$E$521:$E$560,'Programme de vols'!$C$521:$C$560,"TMMRUN",'Programme de vols'!$D$521:$D$560,"778",'Programme de vols'!$B$521:$B$560,"&gt;="&amp;$J$79,'Programme de vols'!$B$521:$B$560,"&lt;="&amp;$K$79)</f>
        <v>0</v>
      </c>
      <c r="D128" s="97" t="n">
        <f aca="false">SUMPRODUCT($C$80:$I$80,--(INDEX('Programme de vols'!$D$49:$J$513,74,0)&lt;&gt;""))+SUMIFS('Programme de vols'!$E$521:$E$560,'Programme de vols'!$C$521:$C$560,"TMMRUN",'Programme de vols'!$D$521:$D$560,"778",'Programme de vols'!$B$521:$B$560,"&gt;="&amp;$J$80,'Programme de vols'!$B$521:$B$560,"&lt;="&amp;$K$80)</f>
        <v>0</v>
      </c>
      <c r="E128" s="97" t="n">
        <f aca="false">SUMPRODUCT($C$81:$I$81,--(INDEX('Programme de vols'!$D$49:$J$513,113,0)&lt;&gt;""))+SUMIFS('Programme de vols'!$E$521:$E$560,'Programme de vols'!$C$521:$C$560,"TMMRUN",'Programme de vols'!$D$521:$D$560,"778",'Programme de vols'!$B$521:$B$560,"&gt;="&amp;$J$81,'Programme de vols'!$B$521:$B$560,"&lt;="&amp;$K$81)</f>
        <v>0</v>
      </c>
      <c r="F128" s="97" t="n">
        <f aca="false">SUMPRODUCT($C$82:$I$82,--(INDEX('Programme de vols'!$D$49:$J$513,152,0)&lt;&gt;""))+SUMIFS('Programme de vols'!$E$521:$E$560,'Programme de vols'!$C$521:$C$560,"TMMRUN",'Programme de vols'!$D$521:$D$560,"778",'Programme de vols'!$B$521:$B$560,"&gt;="&amp;$J$82,'Programme de vols'!$B$521:$B$560,"&lt;="&amp;$K$82)</f>
        <v>0</v>
      </c>
      <c r="G128" s="97" t="n">
        <f aca="false">SUMPRODUCT($C$83:$I$83,--(INDEX('Programme de vols'!$D$49:$J$513,191,0)&lt;&gt;""))+SUMIFS('Programme de vols'!$E$521:$E$560,'Programme de vols'!$C$521:$C$560,"TMMRUN",'Programme de vols'!$D$521:$D$560,"778",'Programme de vols'!$B$521:$B$560,"&gt;="&amp;$J$83,'Programme de vols'!$B$521:$B$560,"&lt;="&amp;$K$83)</f>
        <v>0</v>
      </c>
      <c r="H128" s="97" t="n">
        <f aca="false">SUMPRODUCT($C$84:$I$84,--(INDEX('Programme de vols'!$D$49:$J$513,230,0)&lt;&gt;""))+SUMIFS('Programme de vols'!$E$521:$E$560,'Programme de vols'!$C$521:$C$560,"TMMRUN",'Programme de vols'!$D$521:$D$560,"778",'Programme de vols'!$B$521:$B$560,"&gt;="&amp;$J$84,'Programme de vols'!$B$521:$B$560,"&lt;="&amp;$K$84)</f>
        <v>0</v>
      </c>
      <c r="I128" s="97" t="n">
        <f aca="false">SUMPRODUCT($C$85:$I$85,--(INDEX('Programme de vols'!$D$49:$J$513,269,0)&lt;&gt;""))+SUMIFS('Programme de vols'!$E$521:$E$560,'Programme de vols'!$C$521:$C$560,"TMMRUN",'Programme de vols'!$D$521:$D$560,"778",'Programme de vols'!$B$521:$B$560,"&gt;="&amp;$J$85,'Programme de vols'!$B$521:$B$560,"&lt;="&amp;$K$85)</f>
        <v>0</v>
      </c>
      <c r="J128" s="97" t="n">
        <f aca="false">SUMPRODUCT($C$86:$I$86,--(INDEX('Programme de vols'!$D$49:$J$513,308,0)&lt;&gt;""))+SUMIFS('Programme de vols'!$E$521:$E$560,'Programme de vols'!$C$521:$C$560,"TMMRUN",'Programme de vols'!$D$521:$D$560,"778",'Programme de vols'!$B$521:$B$560,"&gt;="&amp;$J$86,'Programme de vols'!$B$521:$B$560,"&lt;="&amp;$K$86)</f>
        <v>0</v>
      </c>
      <c r="K128" s="97" t="n">
        <f aca="false">SUMPRODUCT($C$87:$I$87,--(INDEX('Programme de vols'!$D$49:$J$513,347,0)&lt;&gt;""))+SUMIFS('Programme de vols'!$E$521:$E$560,'Programme de vols'!$C$521:$C$560,"TMMRUN",'Programme de vols'!$D$521:$D$560,"778",'Programme de vols'!$B$521:$B$560,"&gt;="&amp;$J$87,'Programme de vols'!$B$521:$B$560,"&lt;="&amp;$K$87)</f>
        <v>0</v>
      </c>
      <c r="L128" s="97" t="n">
        <f aca="false">SUMPRODUCT($C$88:$I$88,--(INDEX('Programme de vols'!$D$49:$J$513,386,0)&lt;&gt;""))+SUMIFS('Programme de vols'!$E$521:$E$560,'Programme de vols'!$C$521:$C$560,"TMMRUN",'Programme de vols'!$D$521:$D$560,"778",'Programme de vols'!$B$521:$B$560,"&gt;="&amp;$J$88,'Programme de vols'!$B$521:$B$560,"&lt;="&amp;$K$88)</f>
        <v>0</v>
      </c>
      <c r="M128" s="97" t="n">
        <f aca="false">SUMPRODUCT($C$89:$I$89,--(INDEX('Programme de vols'!$D$49:$J$513,425,0)&lt;&gt;""))+SUMIFS('Programme de vols'!$E$521:$E$560,'Programme de vols'!$C$521:$C$560,"TMMRUN",'Programme de vols'!$D$521:$D$560,"778",'Programme de vols'!$B$521:$B$560,"&gt;="&amp;$J$89,'Programme de vols'!$B$521:$B$560,"&lt;="&amp;$K$89)</f>
        <v>0</v>
      </c>
      <c r="N128" s="97" t="n">
        <f aca="false">SUMPRODUCT($C$90:$I$90,--(INDEX('Programme de vols'!$D$49:$J$513,464,0)&lt;&gt;""))+SUMIFS('Programme de vols'!$E$521:$E$560,'Programme de vols'!$C$521:$C$560,"TMMRUN",'Programme de vols'!$D$521:$D$560,"778",'Programme de vols'!$B$521:$B$560,"&gt;="&amp;$J$90,'Programme de vols'!$B$521:$B$560,"&lt;="&amp;$K$90)</f>
        <v>0</v>
      </c>
      <c r="O128" s="12" t="s">
        <v>61</v>
      </c>
      <c r="P128" s="12" t="s">
        <v>18</v>
      </c>
    </row>
    <row r="129" customFormat="false" ht="15" hidden="false" customHeight="false" outlineLevel="0" collapsed="false">
      <c r="B129" s="10" t="s">
        <v>137</v>
      </c>
      <c r="C129" s="97" t="n">
        <f aca="false">SUMPRODUCT($C$79:$I$79,--(INDEX('Programme de vols'!$D$49:$J$513,36,0)&lt;&gt;""))+SUMIFS('Programme de vols'!$E$521:$E$560,'Programme de vols'!$C$521:$C$560,"TMMRUN",'Programme de vols'!$D$521:$D$560,"A320",'Programme de vols'!$B$521:$B$560,"&gt;="&amp;$J$79,'Programme de vols'!$B$521:$B$560,"&lt;="&amp;$K$79)</f>
        <v>8</v>
      </c>
      <c r="D129" s="97" t="n">
        <f aca="false">SUMPRODUCT($C$80:$I$80,--(INDEX('Programme de vols'!$D$49:$J$513,75,0)&lt;&gt;""))+SUMIFS('Programme de vols'!$E$521:$E$560,'Programme de vols'!$C$521:$C$560,"TMMRUN",'Programme de vols'!$D$521:$D$560,"A320",'Programme de vols'!$B$521:$B$560,"&gt;="&amp;$J$80,'Programme de vols'!$B$521:$B$560,"&lt;="&amp;$K$80)</f>
        <v>9</v>
      </c>
      <c r="E129" s="97" t="n">
        <f aca="false">SUMPRODUCT($C$81:$I$81,--(INDEX('Programme de vols'!$D$49:$J$513,114,0)&lt;&gt;""))+SUMIFS('Programme de vols'!$E$521:$E$560,'Programme de vols'!$C$521:$C$560,"TMMRUN",'Programme de vols'!$D$521:$D$560,"A320",'Programme de vols'!$B$521:$B$560,"&gt;="&amp;$J$81,'Programme de vols'!$B$521:$B$560,"&lt;="&amp;$K$81)</f>
        <v>9</v>
      </c>
      <c r="F129" s="97" t="n">
        <f aca="false">SUMPRODUCT($C$82:$I$82,--(INDEX('Programme de vols'!$D$49:$J$513,153,0)&lt;&gt;""))+SUMIFS('Programme de vols'!$E$521:$E$560,'Programme de vols'!$C$521:$C$560,"TMMRUN",'Programme de vols'!$D$521:$D$560,"A320",'Programme de vols'!$B$521:$B$560,"&gt;="&amp;$J$82,'Programme de vols'!$B$521:$B$560,"&lt;="&amp;$K$82)</f>
        <v>8</v>
      </c>
      <c r="G129" s="97" t="n">
        <f aca="false">SUMPRODUCT($C$83:$I$83,--(INDEX('Programme de vols'!$D$49:$J$513,192,0)&lt;&gt;""))+SUMIFS('Programme de vols'!$E$521:$E$560,'Programme de vols'!$C$521:$C$560,"TMMRUN",'Programme de vols'!$D$521:$D$560,"A320",'Programme de vols'!$B$521:$B$560,"&gt;="&amp;$J$83,'Programme de vols'!$B$521:$B$560,"&lt;="&amp;$K$83)</f>
        <v>9</v>
      </c>
      <c r="H129" s="97" t="n">
        <f aca="false">SUMPRODUCT($C$84:$I$84,--(INDEX('Programme de vols'!$D$49:$J$513,231,0)&lt;&gt;""))+SUMIFS('Programme de vols'!$E$521:$E$560,'Programme de vols'!$C$521:$C$560,"TMMRUN",'Programme de vols'!$D$521:$D$560,"A320",'Programme de vols'!$B$521:$B$560,"&gt;="&amp;$J$84,'Programme de vols'!$B$521:$B$560,"&lt;="&amp;$K$84)</f>
        <v>9</v>
      </c>
      <c r="I129" s="97" t="n">
        <f aca="false">SUMPRODUCT($C$85:$I$85,--(INDEX('Programme de vols'!$D$49:$J$513,270,0)&lt;&gt;""))+SUMIFS('Programme de vols'!$E$521:$E$560,'Programme de vols'!$C$521:$C$560,"TMMRUN",'Programme de vols'!$D$521:$D$560,"A320",'Programme de vols'!$B$521:$B$560,"&gt;="&amp;$J$85,'Programme de vols'!$B$521:$B$560,"&lt;="&amp;$K$85)</f>
        <v>9</v>
      </c>
      <c r="J129" s="97" t="n">
        <f aca="false">SUMPRODUCT($C$86:$I$86,--(INDEX('Programme de vols'!$D$49:$J$513,309,0)&lt;&gt;""))+SUMIFS('Programme de vols'!$E$521:$E$560,'Programme de vols'!$C$521:$C$560,"TMMRUN",'Programme de vols'!$D$521:$D$560,"A320",'Programme de vols'!$B$521:$B$560,"&gt;="&amp;$J$86,'Programme de vols'!$B$521:$B$560,"&lt;="&amp;$K$86)</f>
        <v>8</v>
      </c>
      <c r="K129" s="97" t="n">
        <f aca="false">SUMPRODUCT($C$87:$I$87,--(INDEX('Programme de vols'!$D$49:$J$513,348,0)&lt;&gt;""))+SUMIFS('Programme de vols'!$E$521:$E$560,'Programme de vols'!$C$521:$C$560,"TMMRUN",'Programme de vols'!$D$521:$D$560,"A320",'Programme de vols'!$B$521:$B$560,"&gt;="&amp;$J$87,'Programme de vols'!$B$521:$B$560,"&lt;="&amp;$K$87)</f>
        <v>9</v>
      </c>
      <c r="L129" s="97" t="n">
        <f aca="false">SUMPRODUCT($C$88:$I$88,--(INDEX('Programme de vols'!$D$49:$J$513,387,0)&lt;&gt;""))+SUMIFS('Programme de vols'!$E$521:$E$560,'Programme de vols'!$C$521:$C$560,"TMMRUN",'Programme de vols'!$D$521:$D$560,"A320",'Programme de vols'!$B$521:$B$560,"&gt;="&amp;$J$88,'Programme de vols'!$B$521:$B$560,"&lt;="&amp;$K$88)</f>
        <v>9</v>
      </c>
      <c r="M129" s="97" t="n">
        <f aca="false">SUMPRODUCT($C$89:$I$89,--(INDEX('Programme de vols'!$D$49:$J$513,426,0)&lt;&gt;""))+SUMIFS('Programme de vols'!$E$521:$E$560,'Programme de vols'!$C$521:$C$560,"TMMRUN",'Programme de vols'!$D$521:$D$560,"A320",'Programme de vols'!$B$521:$B$560,"&gt;="&amp;$J$89,'Programme de vols'!$B$521:$B$560,"&lt;="&amp;$K$89)</f>
        <v>8</v>
      </c>
      <c r="N129" s="97" t="n">
        <f aca="false">SUMPRODUCT($C$90:$I$90,--(INDEX('Programme de vols'!$D$49:$J$513,465,0)&lt;&gt;""))+SUMIFS('Programme de vols'!$E$521:$E$560,'Programme de vols'!$C$521:$C$560,"TMMRUN",'Programme de vols'!$D$521:$D$560,"A320",'Programme de vols'!$B$521:$B$560,"&gt;="&amp;$J$90,'Programme de vols'!$B$521:$B$560,"&lt;="&amp;$K$90)</f>
        <v>9</v>
      </c>
      <c r="O129" s="12" t="s">
        <v>61</v>
      </c>
      <c r="P129" s="12" t="s">
        <v>23</v>
      </c>
    </row>
  </sheetData>
  <mergeCells count="12">
    <mergeCell ref="B1:J1"/>
    <mergeCell ref="B2:J2"/>
    <mergeCell ref="B4:F4"/>
    <mergeCell ref="D6:F6"/>
    <mergeCell ref="D7:F7"/>
    <mergeCell ref="D8:F8"/>
    <mergeCell ref="B11:F11"/>
    <mergeCell ref="B27:O27"/>
    <mergeCell ref="B44:O44"/>
    <mergeCell ref="B61:K61"/>
    <mergeCell ref="B77:L77"/>
    <mergeCell ref="B92:N9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2026-09-08T14:04:48Z</dcterms:created>
  <dc:creator>openpyxl</dc:creator>
  <dc:description/>
  <dc:language>en-US</dc:language>
  <cp:lastModifiedBy/>
  <dcterms:modified xsi:type="dcterms:W3CDTF">2026-09-08T14:04:49Z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