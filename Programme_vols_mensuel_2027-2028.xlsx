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amme de vols" sheetId="1" state="visible" r:id="rId3"/>
    <sheet name="Saisie programme" sheetId="2" state="visible" r:id="rId4"/>
    <sheet name="Vols additionnels" sheetId="3" state="visible" r:id="rId5"/>
    <sheet name="Analyse capacite" sheetId="4" state="visible" r:id="rId6"/>
  </sheets>
  <definedNames>
    <definedName function="false" hidden="false" localSheetId="3" name="_xlnm.Print_Area" vbProcedure="false">'Analyse capacite'!$B$1:$O$75</definedName>
    <definedName function="false" hidden="false" localSheetId="0" name="_xlnm.Print_Area" vbProcedure="false">'Programme de vols'!$B$1:$L$39</definedName>
    <definedName function="false" hidden="false" localSheetId="2" name="_xlnm.Print_Area" vbProcedure="false">'Vols additionnels'!$B$1:$F$66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Liste deroulante : avril 2027 -&gt; mars 2028.</t>
        </r>
      </text>
    </comment>
    <comment ref="C5" authorId="0">
      <text>
        <r>
          <rPr>
            <sz val="10"/>
            <rFont val="Arial"/>
            <family val="2"/>
          </rPr>
          <t xml:space="preserve">Liste deroulante : les 12 routes exploitees.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D13" authorId="0">
      <text>
        <r>
          <rPr>
            <sz val="10"/>
            <rFont val="Arial"/>
            <family val="2"/>
          </rPr>
          <t xml:space="preserve">Un caractere par rotation partant ce jour-la.
0 (ou x) = retour le jour meme, 1 = retour J+1, 2 = J+2, 3 = J+3.
Ex. : 01 = deux rotations, une rentre le jour meme, l'autre le lendemain.
Case vide = aucun vol.</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Date du vol (annee avril 2027 - mars 2028).
Route et type avion : listes deroulantes.
Nb de rotations : 1 par defaut, 2 pour une double rotation le meme jour.</t>
        </r>
      </text>
    </comment>
  </commentList>
</comments>
</file>

<file path=xl/sharedStrings.xml><?xml version="1.0" encoding="utf-8"?>
<sst xmlns="http://schemas.openxmlformats.org/spreadsheetml/2006/main" count="1649" uniqueCount="194">
  <si>
    <t xml:space="preserve">PROGRAMME DE VOLS MENSUEL - ANNEE D'EXPLOITATION AVRIL 2027 / MARS 2028</t>
  </si>
  <si>
    <t xml:space="preserve">Feuille de lecture : les deux filtres ci-dessous pilotent la grille ; le recapitulatif ne suit que le filtre Mois. La saisie se fait sur les feuilles "Saisie programme" (12 tableaux, un par mois) et "Vols additionnels". La feuille "Analyse capacite" traduit le programme en sieges offerts.</t>
  </si>
  <si>
    <t xml:space="preserve">REPERES CALCULES</t>
  </si>
  <si>
    <t xml:space="preserve">Mois (filtre)</t>
  </si>
  <si>
    <t xml:space="preserve">1er jour</t>
  </si>
  <si>
    <t xml:space="preserve">Types avion</t>
  </si>
  <si>
    <t xml:space="preserve">Routes</t>
  </si>
  <si>
    <t xml:space="preserve">FILTRE  MOIS</t>
  </si>
  <si>
    <t xml:space="preserve">avril 2027</t>
  </si>
  <si>
    <t xml:space="preserve">&lt;-- listes deroulantes. Le filtre Mois designe le tableau de saisie lu.</t>
  </si>
  <si>
    <t xml:space="preserve">1er jour du mois</t>
  </si>
  <si>
    <t xml:space="preserve">77W</t>
  </si>
  <si>
    <t xml:space="preserve">CDGRUN</t>
  </si>
  <si>
    <t xml:space="preserve">FILTRE  ROUTE</t>
  </si>
  <si>
    <t xml:space="preserve">NOSRUN</t>
  </si>
  <si>
    <t xml:space="preserve">&gt;&gt; Aller a la saisie du programme</t>
  </si>
  <si>
    <t xml:space="preserve">&gt;&gt; Aller aux vols additionnels</t>
  </si>
  <si>
    <t xml:space="preserve">Dernier jour du mois</t>
  </si>
  <si>
    <t xml:space="preserve">mai 2027</t>
  </si>
  <si>
    <t xml:space="preserve">787</t>
  </si>
  <si>
    <t xml:space="preserve">CDGDZA</t>
  </si>
  <si>
    <t xml:space="preserve">GRILLE MENSUELLE  -  rotations par semaine et par jour (filtres Mois + Route)</t>
  </si>
  <si>
    <t xml:space="preserve">Lundi semaine 1</t>
  </si>
  <si>
    <t xml:space="preserve">juin 2027</t>
  </si>
  <si>
    <t xml:space="preserve">A320</t>
  </si>
  <si>
    <t xml:space="preserve">BKKRUN</t>
  </si>
  <si>
    <t xml:space="preserve">Semaine</t>
  </si>
  <si>
    <t xml:space="preserve">J1 - Lundi</t>
  </si>
  <si>
    <t xml:space="preserve">J2 - Mardi</t>
  </si>
  <si>
    <t xml:space="preserve">J3 - Mercredi</t>
  </si>
  <si>
    <t xml:space="preserve">J4 - Jeudi</t>
  </si>
  <si>
    <t xml:space="preserve">J5 - Vendredi</t>
  </si>
  <si>
    <t xml:space="preserve">J6 - Samedi</t>
  </si>
  <si>
    <t xml:space="preserve">J7 - Dimanche</t>
  </si>
  <si>
    <t xml:space="preserve">Tableau de saisie lu</t>
  </si>
  <si>
    <t xml:space="preserve">juillet 2027</t>
  </si>
  <si>
    <t xml:space="preserve">DZARUN</t>
  </si>
  <si>
    <t xml:space="preserve">Semaine 1</t>
  </si>
  <si>
    <t xml:space="preserve">Type(s) avion</t>
  </si>
  <si>
    <t xml:space="preserve">aout 2027</t>
  </si>
  <si>
    <t xml:space="preserve">MRURUN</t>
  </si>
  <si>
    <t xml:space="preserve">Rotations / semaine</t>
  </si>
  <si>
    <t xml:space="preserve">septembre 2027</t>
  </si>
  <si>
    <t xml:space="preserve">Semaine 2</t>
  </si>
  <si>
    <t xml:space="preserve">Total rotations du mois</t>
  </si>
  <si>
    <t xml:space="preserve">octobre 2027</t>
  </si>
  <si>
    <t xml:space="preserve">RUNTNR</t>
  </si>
  <si>
    <t xml:space="preserve">        dont 77W</t>
  </si>
  <si>
    <t xml:space="preserve">novembre 2027</t>
  </si>
  <si>
    <t xml:space="preserve">JNBRUN</t>
  </si>
  <si>
    <t xml:space="preserve">Semaine 3</t>
  </si>
  <si>
    <t xml:space="preserve">        dont 787</t>
  </si>
  <si>
    <t xml:space="preserve">decembre 2027</t>
  </si>
  <si>
    <t xml:space="preserve">CPTRUN</t>
  </si>
  <si>
    <t xml:space="preserve">        dont A320</t>
  </si>
  <si>
    <t xml:space="preserve">janvier 2028</t>
  </si>
  <si>
    <t xml:space="preserve">DIERUN</t>
  </si>
  <si>
    <t xml:space="preserve">Semaine 4</t>
  </si>
  <si>
    <t xml:space="preserve">fevrier 2028</t>
  </si>
  <si>
    <t xml:space="preserve">RRGRUN</t>
  </si>
  <si>
    <t xml:space="preserve">PROGRAMME DE LA ROUTE FILTREE (auto - alimente la grille)</t>
  </si>
  <si>
    <t xml:space="preserve">mars 2028</t>
  </si>
  <si>
    <t xml:space="preserve">TMMRUN</t>
  </si>
  <si>
    <t xml:space="preserve">Semaine 5</t>
  </si>
  <si>
    <t xml:space="preserve">Jour</t>
  </si>
  <si>
    <t xml:space="preserve">J1</t>
  </si>
  <si>
    <t xml:space="preserve">J2</t>
  </si>
  <si>
    <t xml:space="preserve">J3</t>
  </si>
  <si>
    <t xml:space="preserve">J4</t>
  </si>
  <si>
    <t xml:space="preserve">J5</t>
  </si>
  <si>
    <t xml:space="preserve">J6</t>
  </si>
  <si>
    <t xml:space="preserve">J7</t>
  </si>
  <si>
    <t xml:space="preserve">Departs du jour (grille)</t>
  </si>
  <si>
    <t xml:space="preserve">Semaine 6</t>
  </si>
  <si>
    <t xml:space="preserve">Retours du jour (grille)</t>
  </si>
  <si>
    <t xml:space="preserve">77W : code saisi</t>
  </si>
  <si>
    <t xml:space="preserve">Occurrences du jour dans le mois</t>
  </si>
  <si>
    <t xml:space="preserve">787 : code saisi</t>
  </si>
  <si>
    <t xml:space="preserve">Nb de semaines calendaires du mois</t>
  </si>
  <si>
    <t xml:space="preserve">Lecture : 1re ligne = les rotations qui PARTENT ce jour-la ("2xA320" = deux rotations A320)  |  2e ligne "&lt; 787" = les RETOURS de rotations parties les jours precedents  |  "(+A320)" encadre en rouge = vol saisi sur la feuille Vols additionnels.</t>
  </si>
  <si>
    <t xml:space="preserve">A320 : code saisi</t>
  </si>
  <si>
    <t xml:space="preserve">77W : rotations au depart</t>
  </si>
  <si>
    <t xml:space="preserve">RECAPITULATIF MENSUEL - TOUTES ROUTES  (depend uniquement du filtre Mois)</t>
  </si>
  <si>
    <t xml:space="preserve">787 : rotations au depart</t>
  </si>
  <si>
    <t xml:space="preserve">Route</t>
  </si>
  <si>
    <t xml:space="preserve">Semaine type du mois (jours J1-J7)</t>
  </si>
  <si>
    <t xml:space="preserve">Rotations/semaine</t>
  </si>
  <si>
    <t xml:space="preserve">Nb de semaines/occurrences dans le mois</t>
  </si>
  <si>
    <t xml:space="preserve">dont programme du mois</t>
  </si>
  <si>
    <t xml:space="preserve">dont vols additionnels</t>
  </si>
  <si>
    <t xml:space="preserve">Total 77W</t>
  </si>
  <si>
    <t xml:space="preserve">Total 787</t>
  </si>
  <si>
    <t xml:space="preserve">Total A320</t>
  </si>
  <si>
    <t xml:space="preserve">A320 : rotations au depart</t>
  </si>
  <si>
    <t xml:space="preserve">77W : retours ce jour</t>
  </si>
  <si>
    <t xml:space="preserve">787 : retours ce jour</t>
  </si>
  <si>
    <t xml:space="preserve">A320 : retours ce jour</t>
  </si>
  <si>
    <t xml:space="preserve">PROGRAMME DU MOIS FILTRE, TOUTES ROUTES (auto - recopie de la feuille Saisie programme)</t>
  </si>
  <si>
    <t xml:space="preserve">Route / type</t>
  </si>
  <si>
    <t xml:space="preserve">CDGRUN - 77W</t>
  </si>
  <si>
    <t xml:space="preserve">CDGRUN - 787</t>
  </si>
  <si>
    <t xml:space="preserve">CDGRUN - A320</t>
  </si>
  <si>
    <t xml:space="preserve">CDGDZA - 77W</t>
  </si>
  <si>
    <t xml:space="preserve">CDGDZA - 787</t>
  </si>
  <si>
    <t xml:space="preserve">CDGDZA - A320</t>
  </si>
  <si>
    <t xml:space="preserve">TOTAL GENERAL</t>
  </si>
  <si>
    <t xml:space="preserve">BKKRUN - 77W</t>
  </si>
  <si>
    <t xml:space="preserve">Methode : le recapitulatif lit le tableau du mois filtre sur la feuille "Saisie programme". Chaque caractere saisi dans une case = une rotation (un aller-retour), comptee le jour de son depart quel que soit le decalage de son retour. Pour chaque jour opere, le nombre d'occurrences de ce jour dans le mois est compte a partir des dates reelles de la grille (semaines partielles incluses), chaque type avion etant compte separement. Total rotations du mois = programme du mois + vols additionnels dates du mois.</t>
  </si>
  <si>
    <t xml:space="preserve">BKKRUN - 787</t>
  </si>
  <si>
    <t xml:space="preserve">BKKRUN - A320</t>
  </si>
  <si>
    <t xml:space="preserve">DZARUN - 77W</t>
  </si>
  <si>
    <t xml:space="preserve">DZARUN - 787</t>
  </si>
  <si>
    <t xml:space="preserve">DZARUN - A320</t>
  </si>
  <si>
    <t xml:space="preserve">MRURUN - 77W</t>
  </si>
  <si>
    <t xml:space="preserve">MRURUN - 787</t>
  </si>
  <si>
    <t xml:space="preserve">MRURUN - A320</t>
  </si>
  <si>
    <t xml:space="preserve">NOSRUN - 77W</t>
  </si>
  <si>
    <t xml:space="preserve">NOSRUN - 787</t>
  </si>
  <si>
    <t xml:space="preserve">NOSRUN - A320</t>
  </si>
  <si>
    <t xml:space="preserve">RUNTNR - 77W</t>
  </si>
  <si>
    <t xml:space="preserve">RUNTNR - 787</t>
  </si>
  <si>
    <t xml:space="preserve">RUNTNR - A320</t>
  </si>
  <si>
    <t xml:space="preserve">JNBRUN - 77W</t>
  </si>
  <si>
    <t xml:space="preserve">JNBRUN - 787</t>
  </si>
  <si>
    <t xml:space="preserve">JNBRUN - A320</t>
  </si>
  <si>
    <t xml:space="preserve">CPTRUN - 77W</t>
  </si>
  <si>
    <t xml:space="preserve">CPTRUN - 787</t>
  </si>
  <si>
    <t xml:space="preserve">CPTRUN - A320</t>
  </si>
  <si>
    <t xml:space="preserve">DIERUN - 77W</t>
  </si>
  <si>
    <t xml:space="preserve">DIERUN - 787</t>
  </si>
  <si>
    <t xml:space="preserve">DIERUN - A320</t>
  </si>
  <si>
    <t xml:space="preserve">RRGRUN - 77W</t>
  </si>
  <si>
    <t xml:space="preserve">RRGRUN - 787</t>
  </si>
  <si>
    <t xml:space="preserve">RRGRUN - A320</t>
  </si>
  <si>
    <t xml:space="preserve">TMMRUN - 77W</t>
  </si>
  <si>
    <t xml:space="preserve">TMMRUN - 787</t>
  </si>
  <si>
    <t xml:space="preserve">TMMRUN - A320</t>
  </si>
  <si>
    <t xml:space="preserve">SAISIE DU PROGRAMME - 12 TABLEAUX, UN PAR MOIS</t>
  </si>
  <si>
    <t xml:space="preserve">Cellules en BLEU = saisie utilisateur. Chaque route occupe 3 lignes = les 3 types avion. Dans la case d'un jour, on saisit UN CARACTERE PAR ROTATION (aller-retour) qui PART ce jour-la, et ce caractere indique QUAND CETTE ROTATION RENTRE :  0 (ou x) = retour le jour meme  |  1 = retour a J+1  |  2 = J+2  |  3 = J+3.  Un caractere par rotation : "0" = 1 rotation A/R dans la journee, "1" = 1 rotation qui rentre le lendemain, "01" = 2 rotations dont une rentre le jour meme et l'autre le lendemain, "00" = 2 rotations rentrant le jour meme.  Case vide = aucun vol. Une rotation : fond vert ; plusieurs rotations : fond orange. Les 12 tableaux sont independants, la frequence peut donc etre differente chaque mois. Pour reprendre un mois sur un autre : copier la zone des 7 jours (36 lignes) et la coller dans le tableau cible.</t>
  </si>
  <si>
    <t xml:space="preserve">Mois filtre sur la feuille de lecture :</t>
  </si>
  <si>
    <t xml:space="preserve">&lt;&lt; retour a la feuille Programme de vols</t>
  </si>
  <si>
    <t xml:space="preserve">Aller au mois :</t>
  </si>
  <si>
    <t xml:space="preserve">(clic sur un mois)</t>
  </si>
  <si>
    <t xml:space="preserve">^ Haut de la feuille</t>
  </si>
  <si>
    <t xml:space="preserve">Type avion</t>
  </si>
  <si>
    <t xml:space="preserve">Rot./sem. par type</t>
  </si>
  <si>
    <t xml:space="preserve">Rot./sem. route</t>
  </si>
  <si>
    <t xml:space="preserve">1</t>
  </si>
  <si>
    <t xml:space="preserve">01</t>
  </si>
  <si>
    <t xml:space="preserve">0</t>
  </si>
  <si>
    <t xml:space="preserve">00</t>
  </si>
  <si>
    <t xml:space="preserve">VOLS ADDITIONNELS - en plus du programme mensuel</t>
  </si>
  <si>
    <t xml:space="preserve">Une ligne = un vol supplementaire date (charter, renfort ponctuel, fret, seconde rotation exceptionnelle...). Il s'ajoute au programme du mois concerne, sur n'importe quel jour, y compris un jour deja opere ou un jour hors programme. Sur la feuille "Programme de vols", il apparait dans la cellule du jour entre parentheses avec un + et une bordure rouge, et il est compte dans la colonne "dont vols additionnels" du recapitulatif. Pour une rotation recurrente sur tout un mois, ajouter plutot un caractere dans la case du jour, sur la feuille "Saisie programme". Cette table est livree VIDE : tout ce qui y est saisi est compte.</t>
  </si>
  <si>
    <t xml:space="preserve">Date du vol</t>
  </si>
  <si>
    <t xml:space="preserve">Nb de rotations</t>
  </si>
  <si>
    <t xml:space="preserve">Commentaire (libre)</t>
  </si>
  <si>
    <t xml:space="preserve">Cle technique (auto)</t>
  </si>
  <si>
    <t xml:space="preserve">Types</t>
  </si>
  <si>
    <t xml:space="preserve">listes de reference - ne pas modifier</t>
  </si>
  <si>
    <t xml:space="preserve">ANALYSE DE CAPACITE - SIEGES OFFERTS (avril 2027 / mars 2028)</t>
  </si>
  <si>
    <t xml:space="preserve">Cette feuille interprete automatiquement les feuilles "Saisie programme" et "Vols additionnels" en les croisant avec les capacites ci-dessous. Une rotation = un aller-retour, comptee le jour de son depart. Aucune saisie ici, hormis les hypotheses. Toute modification du programme met a jour cette feuille.</t>
  </si>
  <si>
    <t xml:space="preserve">HYPOTHESES DE CAPACITE (sieges par rotation)</t>
  </si>
  <si>
    <t xml:space="preserve">Sieges par rotation</t>
  </si>
  <si>
    <t xml:space="preserve">Remarque</t>
  </si>
  <si>
    <t xml:space="preserve">Valeur fournie (77W = 777-300ER).</t>
  </si>
  <si>
    <t xml:space="preserve">Valeur fournie (787 Dreamliner).</t>
  </si>
  <si>
    <t xml:space="preserve">Valeur fournie (A320).</t>
  </si>
  <si>
    <t xml:space="preserve">Legs comptes par rotation</t>
  </si>
  <si>
    <t xml:space="preserve">1 = l'aller-retour compte pour un vol (sieges offerts d'un sens) ; mettre 2 pour compter l'aller ET le retour.</t>
  </si>
  <si>
    <t xml:space="preserve">SYNTHESE ANNUELLE PAR ROUTE</t>
  </si>
  <si>
    <t xml:space="preserve">Rotations sur l'annee</t>
  </si>
  <si>
    <t xml:space="preserve">Sieges offerts sur l'annee</t>
  </si>
  <si>
    <t xml:space="preserve">Sieges / rotation</t>
  </si>
  <si>
    <t xml:space="preserve">Part du reseau (sieges)</t>
  </si>
  <si>
    <t xml:space="preserve">TOTAL RESEAU</t>
  </si>
  <si>
    <t xml:space="preserve">SIEGES OFFERTS PAR MOIS ET PAR ROUTE</t>
  </si>
  <si>
    <t xml:space="preserve">Mois</t>
  </si>
  <si>
    <t xml:space="preserve">TOTAL</t>
  </si>
  <si>
    <t xml:space="preserve">TOTAL ANNEE</t>
  </si>
  <si>
    <t xml:space="preserve">ROTATIONS PAR MOIS ET PAR ROUTE</t>
  </si>
  <si>
    <t xml:space="preserve">ROTATIONS ET SIEGES PAR TYPE AVION ET PAR MOIS</t>
  </si>
  <si>
    <t xml:space="preserve">Rotations 77W</t>
  </si>
  <si>
    <t xml:space="preserve">Rotations 787</t>
  </si>
  <si>
    <t xml:space="preserve">Rotations A320</t>
  </si>
  <si>
    <t xml:space="preserve">Total rotations</t>
  </si>
  <si>
    <t xml:space="preserve">Sieges 77W</t>
  </si>
  <si>
    <t xml:space="preserve">Sieges 787</t>
  </si>
  <si>
    <t xml:space="preserve">Sieges A320</t>
  </si>
  <si>
    <t xml:space="preserve">Total sieges</t>
  </si>
  <si>
    <t xml:space="preserve">CALENDRIER AUTO : occurrences de chaque jour de semaine dans le mois (semaines partielles incluses)</t>
  </si>
  <si>
    <t xml:space="preserve">Dernier jour</t>
  </si>
  <si>
    <t xml:space="preserve">Nb de jours</t>
  </si>
  <si>
    <t xml:space="preserve">DETAIL AUTO : rotations par route, type avion et mois (programme du mois + vols additionnels)</t>
  </si>
  <si>
    <t xml:space="preserve">Type</t>
  </si>
</sst>
</file>

<file path=xl/styles.xml><?xml version="1.0" encoding="utf-8"?>
<styleSheet xmlns="http://schemas.openxmlformats.org/spreadsheetml/2006/main">
  <numFmts count="8">
    <numFmt numFmtId="164" formatCode="General"/>
    <numFmt numFmtId="165" formatCode="dd/mm/yyyy"/>
    <numFmt numFmtId="166" formatCode="0"/>
    <numFmt numFmtId="167" formatCode="dd/mm"/>
    <numFmt numFmtId="168" formatCode="General"/>
    <numFmt numFmtId="169" formatCode="@"/>
    <numFmt numFmtId="170" formatCode="#,##0"/>
    <numFmt numFmtId="171" formatCode="0.0%"/>
  </numFmts>
  <fonts count="30">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b val="true"/>
      <sz val="8"/>
      <color rgb="FFFFFFFF"/>
      <name val="Arial"/>
      <family val="0"/>
      <charset val="1"/>
    </font>
    <font>
      <b val="true"/>
      <sz val="11"/>
      <color rgb="FFFFFFFF"/>
      <name val="Arial"/>
      <family val="0"/>
      <charset val="1"/>
    </font>
    <font>
      <b val="true"/>
      <sz val="12"/>
      <color rgb="FF0000FF"/>
      <name val="Arial"/>
      <family val="0"/>
      <charset val="1"/>
    </font>
    <font>
      <i val="true"/>
      <sz val="9"/>
      <color rgb="FF808080"/>
      <name val="Arial"/>
      <family val="0"/>
      <charset val="1"/>
    </font>
    <font>
      <sz val="9"/>
      <color rgb="FF000000"/>
      <name val="Arial"/>
      <family val="0"/>
      <charset val="1"/>
    </font>
    <font>
      <b val="true"/>
      <sz val="9"/>
      <color rgb="FF000000"/>
      <name val="Arial"/>
      <family val="0"/>
      <charset val="1"/>
    </font>
    <font>
      <sz val="8"/>
      <color rgb="FF000000"/>
      <name val="Arial"/>
      <family val="0"/>
      <charset val="1"/>
    </font>
    <font>
      <b val="true"/>
      <sz val="9"/>
      <color rgb="FF0563C1"/>
      <name val="Arial"/>
      <family val="0"/>
      <charset val="1"/>
    </font>
    <font>
      <b val="true"/>
      <sz val="10"/>
      <color rgb="FF000000"/>
      <name val="Arial"/>
      <family val="0"/>
      <charset val="1"/>
    </font>
    <font>
      <i val="true"/>
      <sz val="8"/>
      <color rgb="FF595959"/>
      <name val="Arial"/>
      <family val="0"/>
      <charset val="1"/>
    </font>
    <font>
      <b val="true"/>
      <sz val="9"/>
      <color rgb="FFFFFFFF"/>
      <name val="Arial"/>
      <family val="0"/>
      <charset val="1"/>
    </font>
    <font>
      <b val="true"/>
      <sz val="8"/>
      <color rgb="FF000000"/>
      <name val="Arial"/>
      <family val="0"/>
      <charset val="1"/>
    </font>
    <font>
      <sz val="10"/>
      <color rgb="FF000000"/>
      <name val="Arial"/>
      <family val="0"/>
      <charset val="1"/>
    </font>
    <font>
      <b val="true"/>
      <sz val="11"/>
      <color rgb="FF000000"/>
      <name val="Arial"/>
      <family val="0"/>
      <charset val="1"/>
    </font>
    <font>
      <sz val="10"/>
      <name val="Arial"/>
      <family val="2"/>
    </font>
    <font>
      <i val="true"/>
      <sz val="9"/>
      <color rgb="FF833C0C"/>
      <name val="Arial"/>
      <family val="0"/>
      <charset val="1"/>
    </font>
    <font>
      <i val="true"/>
      <sz val="8"/>
      <color rgb="FF808080"/>
      <name val="Arial"/>
      <family val="0"/>
      <charset val="1"/>
    </font>
    <font>
      <i val="true"/>
      <sz val="8"/>
      <color rgb="FF0563C1"/>
      <name val="Arial"/>
      <family val="0"/>
      <charset val="1"/>
    </font>
    <font>
      <b val="true"/>
      <sz val="11"/>
      <color rgb="FF0000FF"/>
      <name val="Arial"/>
      <family val="0"/>
      <charset val="1"/>
    </font>
    <font>
      <sz val="10"/>
      <color rgb="FF0000FF"/>
      <name val="Arial"/>
      <family val="0"/>
      <charset val="1"/>
    </font>
    <font>
      <i val="true"/>
      <sz val="9"/>
      <color rgb="FF595959"/>
      <name val="Arial"/>
      <family val="0"/>
      <charset val="1"/>
    </font>
    <font>
      <sz val="8"/>
      <color rgb="FFA6A6A6"/>
      <name val="Arial"/>
      <family val="0"/>
      <charset val="1"/>
    </font>
    <font>
      <b val="true"/>
      <sz val="10"/>
      <color rgb="FF0000FF"/>
      <name val="Arial"/>
      <family val="0"/>
      <charset val="1"/>
    </font>
  </fonts>
  <fills count="25">
    <fill>
      <patternFill patternType="none"/>
    </fill>
    <fill>
      <patternFill patternType="gray125"/>
    </fill>
    <fill>
      <patternFill patternType="solid">
        <fgColor rgb="FF1F3864"/>
        <bgColor rgb="FF404040"/>
      </patternFill>
    </fill>
    <fill>
      <patternFill patternType="solid">
        <fgColor rgb="FF808080"/>
        <bgColor rgb="FFA6774B"/>
      </patternFill>
    </fill>
    <fill>
      <patternFill patternType="solid">
        <fgColor rgb="FFFFF2CC"/>
        <bgColor rgb="FFF2E4D8"/>
      </patternFill>
    </fill>
    <fill>
      <patternFill patternType="solid">
        <fgColor rgb="FFF2F2F2"/>
        <bgColor rgb="FFE7E6E6"/>
      </patternFill>
    </fill>
    <fill>
      <patternFill patternType="solid">
        <fgColor rgb="FF2F5597"/>
        <bgColor rgb="FF2E75B6"/>
      </patternFill>
    </fill>
    <fill>
      <patternFill patternType="solid">
        <fgColor rgb="FFD9E2F3"/>
        <bgColor rgb="FFE7E6E6"/>
      </patternFill>
    </fill>
    <fill>
      <patternFill patternType="solid">
        <fgColor rgb="FFE7E6E6"/>
        <bgColor rgb="FFF2E4D8"/>
      </patternFill>
    </fill>
    <fill>
      <patternFill patternType="solid">
        <fgColor rgb="FF833C0C"/>
        <bgColor rgb="FF993366"/>
      </patternFill>
    </fill>
    <fill>
      <patternFill patternType="solid">
        <fgColor rgb="FFA6774B"/>
        <bgColor rgb="FF808080"/>
      </patternFill>
    </fill>
    <fill>
      <patternFill patternType="solid">
        <fgColor rgb="FF9DC3E6"/>
        <bgColor rgb="FF8FAADC"/>
      </patternFill>
    </fill>
    <fill>
      <patternFill patternType="solid">
        <fgColor rgb="FFF2E4D8"/>
        <bgColor rgb="FFE7E6E6"/>
      </patternFill>
    </fill>
    <fill>
      <patternFill patternType="solid">
        <fgColor rgb="FF2E75B6"/>
        <bgColor rgb="FF2F5597"/>
      </patternFill>
    </fill>
    <fill>
      <patternFill patternType="solid">
        <fgColor rgb="FFFFE699"/>
        <bgColor rgb="FFFFF2CC"/>
      </patternFill>
    </fill>
    <fill>
      <patternFill patternType="solid">
        <fgColor rgb="FFF4B183"/>
        <bgColor rgb="FFD5A6BD"/>
      </patternFill>
    </fill>
    <fill>
      <patternFill patternType="solid">
        <fgColor rgb="FFC6E0B4"/>
        <bgColor rgb="FFB7DEE8"/>
      </patternFill>
    </fill>
    <fill>
      <patternFill patternType="solid">
        <fgColor rgb="FFFFD966"/>
        <bgColor rgb="FFFFE699"/>
      </patternFill>
    </fill>
    <fill>
      <patternFill patternType="solid">
        <fgColor rgb="FFD9D2E9"/>
        <bgColor rgb="FFD9E2F3"/>
      </patternFill>
    </fill>
    <fill>
      <patternFill patternType="solid">
        <fgColor rgb="FFA9D08E"/>
        <bgColor rgb="FFC6E0B4"/>
      </patternFill>
    </fill>
    <fill>
      <patternFill patternType="solid">
        <fgColor rgb="FF8FAADC"/>
        <bgColor rgb="FF9DC3E6"/>
      </patternFill>
    </fill>
    <fill>
      <patternFill patternType="solid">
        <fgColor rgb="FFFFC7CE"/>
        <bgColor rgb="FFF2E4D8"/>
      </patternFill>
    </fill>
    <fill>
      <patternFill patternType="solid">
        <fgColor rgb="FFB7DEE8"/>
        <bgColor rgb="FFC6E0B4"/>
      </patternFill>
    </fill>
    <fill>
      <patternFill patternType="solid">
        <fgColor rgb="FFD5A6BD"/>
        <bgColor rgb="FFA6A6A6"/>
      </patternFill>
    </fill>
    <fill>
      <patternFill patternType="solid">
        <fgColor rgb="FFA6A6A6"/>
        <bgColor rgb="FF8FAADC"/>
      </patternFill>
    </fill>
  </fills>
  <borders count="4">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medium">
        <color rgb="FF404040"/>
      </left>
      <right/>
      <top style="medium">
        <color rgb="FF404040"/>
      </top>
      <bottom style="medium">
        <color rgb="FF404040"/>
      </bottom>
      <diagonal/>
    </border>
    <border diagonalUp="false" diagonalDown="false">
      <left style="thin">
        <color rgb="FFA6A6A6"/>
      </left>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false" indent="0" shrinkToFit="false"/>
      <protection locked="true" hidden="false"/>
    </xf>
    <xf numFmtId="167" fontId="16" fillId="0"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6" fontId="12" fillId="4" borderId="1"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18" fillId="5" borderId="1" xfId="0" applyFont="true" applyBorder="true" applyAlignment="true" applyProtection="false">
      <alignment horizontal="center" vertical="center" textRotation="0" wrapText="false" indent="0" shrinkToFit="false"/>
      <protection locked="true" hidden="false"/>
    </xf>
    <xf numFmtId="164" fontId="18" fillId="5" borderId="1" xfId="0" applyFont="true" applyBorder="true" applyAlignment="true" applyProtection="false">
      <alignment horizontal="lef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2" fillId="8" borderId="1" xfId="0" applyFont="true" applyBorder="true" applyAlignment="true" applyProtection="false">
      <alignment horizontal="left" vertical="center" textRotation="0" wrapText="false" indent="0" shrinkToFit="false"/>
      <protection locked="true" hidden="false"/>
    </xf>
    <xf numFmtId="168" fontId="15" fillId="8"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19" fillId="2" borderId="1" xfId="0" applyFont="true" applyBorder="true" applyAlignment="true" applyProtection="false">
      <alignment horizontal="center" vertical="center" textRotation="0" wrapText="false" indent="0" shrinkToFit="false"/>
      <protection locked="true" hidden="false"/>
    </xf>
    <xf numFmtId="166" fontId="6" fillId="2" borderId="1" xfId="0" applyFont="true" applyBorder="true" applyAlignment="true" applyProtection="false">
      <alignment horizontal="center" vertical="center" textRotation="0" wrapText="false" indent="0" shrinkToFit="false"/>
      <protection locked="true" hidden="false"/>
    </xf>
    <xf numFmtId="166" fontId="8" fillId="2"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true" indent="0" shrinkToFit="false"/>
      <protection locked="true" hidden="false"/>
    </xf>
    <xf numFmtId="164" fontId="4" fillId="9" borderId="0" xfId="0" applyFont="true" applyBorder="true" applyAlignment="true" applyProtection="false">
      <alignment horizontal="left"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true" indent="0" shrinkToFit="false"/>
      <protection locked="true" hidden="false"/>
    </xf>
    <xf numFmtId="164" fontId="15" fillId="5" borderId="1" xfId="0" applyFont="true" applyBorder="true" applyAlignment="true" applyProtection="false">
      <alignment horizontal="left" vertical="center" textRotation="0" wrapText="false" indent="0" shrinkToFit="false"/>
      <protection locked="true" hidden="false"/>
    </xf>
    <xf numFmtId="164" fontId="20" fillId="4" borderId="3"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left" vertical="center" textRotation="0" wrapText="fals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true" applyProtection="false">
      <alignment horizontal="right" vertical="center"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left" vertical="center" textRotation="0" wrapText="false" indent="0" shrinkToFit="false"/>
      <protection locked="true" hidden="false"/>
    </xf>
    <xf numFmtId="164" fontId="15" fillId="12" borderId="1" xfId="0" applyFont="true" applyBorder="true" applyAlignment="true" applyProtection="false">
      <alignment horizontal="center" vertical="center" textRotation="0" wrapText="false" indent="0" shrinkToFit="false"/>
      <protection locked="true" hidden="false"/>
    </xf>
    <xf numFmtId="169" fontId="25" fillId="0" borderId="1" xfId="0" applyFont="true" applyBorder="true" applyAlignment="true" applyProtection="false">
      <alignment horizontal="center" vertical="center" textRotation="0" wrapText="false" indent="0" shrinkToFit="false"/>
      <protection locked="true" hidden="false"/>
    </xf>
    <xf numFmtId="164" fontId="8" fillId="13" borderId="1" xfId="0" applyFont="true" applyBorder="true" applyAlignment="true" applyProtection="false">
      <alignment horizontal="left" vertical="center" textRotation="0" wrapText="false" indent="0" shrinkToFit="false"/>
      <protection locked="true" hidden="false"/>
    </xf>
    <xf numFmtId="164" fontId="20" fillId="14" borderId="1" xfId="0" applyFont="true" applyBorder="true" applyAlignment="true" applyProtection="false">
      <alignment horizontal="left" vertical="center" textRotation="0" wrapText="false" indent="0" shrinkToFit="false"/>
      <protection locked="true" hidden="false"/>
    </xf>
    <xf numFmtId="164" fontId="20" fillId="15" borderId="1" xfId="0" applyFont="true" applyBorder="true" applyAlignment="true" applyProtection="false">
      <alignment horizontal="left" vertical="center" textRotation="0" wrapText="false" indent="0" shrinkToFit="false"/>
      <protection locked="true" hidden="false"/>
    </xf>
    <xf numFmtId="164" fontId="20" fillId="16" borderId="1" xfId="0" applyFont="true" applyBorder="true" applyAlignment="true" applyProtection="false">
      <alignment horizontal="left" vertical="center" textRotation="0" wrapText="false" indent="0" shrinkToFit="false"/>
      <protection locked="true" hidden="false"/>
    </xf>
    <xf numFmtId="164" fontId="20" fillId="17" borderId="1" xfId="0" applyFont="true" applyBorder="true" applyAlignment="true" applyProtection="false">
      <alignment horizontal="left" vertical="center" textRotation="0" wrapText="false" indent="0" shrinkToFit="false"/>
      <protection locked="true" hidden="false"/>
    </xf>
    <xf numFmtId="164" fontId="20" fillId="18" borderId="1" xfId="0" applyFont="true" applyBorder="true" applyAlignment="true" applyProtection="false">
      <alignment horizontal="left" vertical="center" textRotation="0" wrapText="false" indent="0" shrinkToFit="false"/>
      <protection locked="true" hidden="false"/>
    </xf>
    <xf numFmtId="164" fontId="20" fillId="19" borderId="1" xfId="0" applyFont="true" applyBorder="true" applyAlignment="true" applyProtection="false">
      <alignment horizontal="left" vertical="center" textRotation="0" wrapText="false" indent="0" shrinkToFit="false"/>
      <protection locked="true" hidden="false"/>
    </xf>
    <xf numFmtId="164" fontId="20" fillId="20" borderId="1" xfId="0" applyFont="true" applyBorder="true" applyAlignment="true" applyProtection="false">
      <alignment horizontal="left" vertical="center" textRotation="0" wrapText="false" indent="0" shrinkToFit="false"/>
      <protection locked="true" hidden="false"/>
    </xf>
    <xf numFmtId="164" fontId="20" fillId="21" borderId="1" xfId="0" applyFont="true" applyBorder="true" applyAlignment="true" applyProtection="false">
      <alignment horizontal="left" vertical="center" textRotation="0" wrapText="false" indent="0" shrinkToFit="false"/>
      <protection locked="true" hidden="false"/>
    </xf>
    <xf numFmtId="164" fontId="20" fillId="22" borderId="1" xfId="0" applyFont="true" applyBorder="true" applyAlignment="true" applyProtection="false">
      <alignment horizontal="left" vertical="center" textRotation="0" wrapText="false" indent="0" shrinkToFit="false"/>
      <protection locked="true" hidden="false"/>
    </xf>
    <xf numFmtId="164" fontId="20" fillId="23" borderId="1" xfId="0" applyFont="true" applyBorder="true" applyAlignment="true" applyProtection="false">
      <alignment horizontal="left" vertical="center" textRotation="0" wrapText="fals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7" fillId="24"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left"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false" indent="0" shrinkToFit="false"/>
      <protection locked="true" hidden="false"/>
    </xf>
    <xf numFmtId="170" fontId="29" fillId="4"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6" fontId="29" fillId="4" borderId="1" xfId="0" applyFont="true" applyBorder="true" applyAlignment="true" applyProtection="false">
      <alignment horizontal="center" vertical="center" textRotation="0" wrapText="false" indent="0" shrinkToFit="false"/>
      <protection locked="true" hidden="false"/>
    </xf>
    <xf numFmtId="164" fontId="16" fillId="0" borderId="3" xfId="0" applyFont="true" applyBorder="true" applyAlignment="true" applyProtection="false">
      <alignment horizontal="left" vertical="center" textRotation="0" wrapText="false" indent="0" shrinkToFit="false"/>
      <protection locked="true" hidden="false"/>
    </xf>
    <xf numFmtId="164" fontId="15" fillId="11" borderId="1" xfId="0" applyFont="true" applyBorder="true" applyAlignment="true" applyProtection="false">
      <alignment horizontal="center" vertical="center" textRotation="0" wrapText="false" indent="0" shrinkToFit="false"/>
      <protection locked="true" hidden="false"/>
    </xf>
    <xf numFmtId="170" fontId="19" fillId="0" borderId="1" xfId="0" applyFont="true" applyBorder="true" applyAlignment="true" applyProtection="false">
      <alignment horizontal="center" vertical="center" textRotation="0" wrapText="false" indent="0" shrinkToFit="false"/>
      <protection locked="true" hidden="false"/>
    </xf>
    <xf numFmtId="170" fontId="15" fillId="0" borderId="1" xfId="0" applyFont="true" applyBorder="true" applyAlignment="true" applyProtection="false">
      <alignment horizontal="center" vertical="center" textRotation="0" wrapText="false" indent="0" shrinkToFit="false"/>
      <protection locked="true" hidden="false"/>
    </xf>
    <xf numFmtId="171" fontId="19" fillId="0" borderId="1" xfId="0" applyFont="true" applyBorder="true" applyAlignment="true" applyProtection="false">
      <alignment horizontal="center" vertical="center" textRotation="0" wrapText="false" indent="0" shrinkToFit="false"/>
      <protection locked="true" hidden="false"/>
    </xf>
    <xf numFmtId="164" fontId="6" fillId="13" borderId="1" xfId="0" applyFont="true" applyBorder="true" applyAlignment="true" applyProtection="false">
      <alignment horizontal="center" vertical="center" textRotation="0" wrapText="false" indent="0" shrinkToFit="false"/>
      <protection locked="true" hidden="false"/>
    </xf>
    <xf numFmtId="164" fontId="15" fillId="14" borderId="1" xfId="0" applyFont="true" applyBorder="true" applyAlignment="true" applyProtection="false">
      <alignment horizontal="center" vertical="center" textRotation="0" wrapText="false" indent="0" shrinkToFit="false"/>
      <protection locked="true" hidden="false"/>
    </xf>
    <xf numFmtId="164" fontId="15" fillId="15" borderId="1" xfId="0" applyFont="true" applyBorder="true" applyAlignment="true" applyProtection="false">
      <alignment horizontal="center" vertical="center" textRotation="0" wrapText="false" indent="0" shrinkToFit="false"/>
      <protection locked="true" hidden="false"/>
    </xf>
    <xf numFmtId="164" fontId="15" fillId="16" borderId="1" xfId="0" applyFont="true" applyBorder="true" applyAlignment="true" applyProtection="false">
      <alignment horizontal="center" vertical="center" textRotation="0" wrapText="false" indent="0" shrinkToFit="false"/>
      <protection locked="true" hidden="false"/>
    </xf>
    <xf numFmtId="164" fontId="15" fillId="17" borderId="1" xfId="0" applyFont="true" applyBorder="true" applyAlignment="true" applyProtection="false">
      <alignment horizontal="center" vertical="center" textRotation="0" wrapText="false" indent="0" shrinkToFit="false"/>
      <protection locked="true" hidden="false"/>
    </xf>
    <xf numFmtId="164" fontId="15" fillId="18" borderId="1" xfId="0" applyFont="true" applyBorder="true" applyAlignment="true" applyProtection="false">
      <alignment horizontal="center" vertical="center" textRotation="0" wrapText="false" indent="0" shrinkToFit="false"/>
      <protection locked="true" hidden="false"/>
    </xf>
    <xf numFmtId="164" fontId="15" fillId="19" borderId="1" xfId="0" applyFont="true" applyBorder="true" applyAlignment="true" applyProtection="false">
      <alignment horizontal="center" vertical="center" textRotation="0" wrapText="false" indent="0" shrinkToFit="false"/>
      <protection locked="true" hidden="false"/>
    </xf>
    <xf numFmtId="164" fontId="15" fillId="20" borderId="1" xfId="0" applyFont="true" applyBorder="true" applyAlignment="true" applyProtection="false">
      <alignment horizontal="center" vertical="center" textRotation="0" wrapText="false" indent="0" shrinkToFit="false"/>
      <protection locked="true" hidden="false"/>
    </xf>
    <xf numFmtId="164" fontId="15" fillId="21" borderId="1" xfId="0" applyFont="true" applyBorder="true" applyAlignment="true" applyProtection="false">
      <alignment horizontal="center" vertical="center" textRotation="0" wrapText="false" indent="0" shrinkToFit="false"/>
      <protection locked="true" hidden="false"/>
    </xf>
    <xf numFmtId="164" fontId="15" fillId="22" borderId="1" xfId="0" applyFont="true" applyBorder="true" applyAlignment="true" applyProtection="false">
      <alignment horizontal="center" vertical="center" textRotation="0" wrapText="false" indent="0" shrinkToFit="false"/>
      <protection locked="true" hidden="false"/>
    </xf>
    <xf numFmtId="164" fontId="15" fillId="23" borderId="1" xfId="0" applyFont="true" applyBorder="true" applyAlignment="true" applyProtection="false">
      <alignment horizontal="center" vertical="center" textRotation="0" wrapText="false" indent="0" shrinkToFit="false"/>
      <protection locked="true" hidden="false"/>
    </xf>
    <xf numFmtId="170" fontId="8" fillId="2" borderId="1" xfId="0" applyFont="true" applyBorder="true" applyAlignment="true" applyProtection="false">
      <alignment horizontal="center" vertical="center" textRotation="0" wrapText="false" indent="0" shrinkToFit="false"/>
      <protection locked="true" hidden="false"/>
    </xf>
    <xf numFmtId="170" fontId="6" fillId="2" borderId="1" xfId="0" applyFont="true" applyBorder="true" applyAlignment="true" applyProtection="false">
      <alignment horizontal="center" vertical="center" textRotation="0" wrapText="false" indent="0" shrinkToFit="false"/>
      <protection locked="true" hidden="false"/>
    </xf>
    <xf numFmtId="171" fontId="6" fillId="2" borderId="1" xfId="0" applyFont="true" applyBorder="true" applyAlignment="true" applyProtection="false">
      <alignment horizontal="center" vertical="center" textRotation="0" wrapText="false" indent="0" shrinkToFit="false"/>
      <protection locked="true" hidden="false"/>
    </xf>
    <xf numFmtId="164" fontId="12" fillId="11" borderId="1" xfId="0" applyFont="true" applyBorder="true" applyAlignment="true" applyProtection="false">
      <alignment horizontal="center"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false" indent="0" shrinkToFit="false"/>
      <protection locked="true" hidden="false"/>
    </xf>
    <xf numFmtId="164" fontId="12" fillId="14" borderId="1" xfId="0" applyFont="true" applyBorder="true" applyAlignment="true" applyProtection="false">
      <alignment horizontal="center" vertical="center" textRotation="0" wrapText="false" indent="0" shrinkToFit="false"/>
      <protection locked="true" hidden="false"/>
    </xf>
    <xf numFmtId="164" fontId="12" fillId="15" borderId="1" xfId="0" applyFont="true" applyBorder="true" applyAlignment="true" applyProtection="false">
      <alignment horizontal="center" vertical="center" textRotation="0" wrapText="false" indent="0" shrinkToFit="false"/>
      <protection locked="true" hidden="false"/>
    </xf>
    <xf numFmtId="164" fontId="12" fillId="16" borderId="1" xfId="0" applyFont="true" applyBorder="true" applyAlignment="true" applyProtection="false">
      <alignment horizontal="center" vertical="center" textRotation="0" wrapText="false" indent="0" shrinkToFit="false"/>
      <protection locked="true" hidden="false"/>
    </xf>
    <xf numFmtId="164" fontId="12" fillId="17" borderId="1" xfId="0" applyFont="true" applyBorder="true" applyAlignment="true" applyProtection="false">
      <alignment horizontal="center" vertical="center" textRotation="0" wrapText="false" indent="0" shrinkToFit="false"/>
      <protection locked="true" hidden="false"/>
    </xf>
    <xf numFmtId="164" fontId="12" fillId="18" borderId="1" xfId="0" applyFont="true" applyBorder="true" applyAlignment="true" applyProtection="false">
      <alignment horizontal="center" vertical="center" textRotation="0" wrapText="false" indent="0" shrinkToFit="false"/>
      <protection locked="true" hidden="false"/>
    </xf>
    <xf numFmtId="164" fontId="12" fillId="19" borderId="1" xfId="0" applyFont="true" applyBorder="true" applyAlignment="true" applyProtection="false">
      <alignment horizontal="center" vertical="center" textRotation="0" wrapText="false" indent="0" shrinkToFit="false"/>
      <protection locked="true" hidden="false"/>
    </xf>
    <xf numFmtId="164" fontId="12" fillId="20" borderId="1" xfId="0" applyFont="true" applyBorder="true" applyAlignment="true" applyProtection="false">
      <alignment horizontal="center" vertical="center" textRotation="0" wrapText="false" indent="0" shrinkToFit="false"/>
      <protection locked="true" hidden="false"/>
    </xf>
    <xf numFmtId="164" fontId="12" fillId="21" borderId="1" xfId="0" applyFont="true" applyBorder="true" applyAlignment="true" applyProtection="false">
      <alignment horizontal="center" vertical="center" textRotation="0" wrapText="false" indent="0" shrinkToFit="false"/>
      <protection locked="true" hidden="false"/>
    </xf>
    <xf numFmtId="164" fontId="12" fillId="22" borderId="1" xfId="0" applyFont="true" applyBorder="true" applyAlignment="true" applyProtection="false">
      <alignment horizontal="center" vertical="center" textRotation="0" wrapText="false" indent="0" shrinkToFit="false"/>
      <protection locked="true" hidden="false"/>
    </xf>
    <xf numFmtId="164" fontId="12" fillId="23"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70" fontId="11" fillId="0" borderId="1" xfId="0" applyFont="true" applyBorder="true" applyAlignment="true" applyProtection="false">
      <alignment horizontal="center" vertical="center" textRotation="0" wrapText="false" indent="0" shrinkToFit="false"/>
      <protection locked="true" hidden="false"/>
    </xf>
    <xf numFmtId="170" fontId="12"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left" vertical="center" textRotation="0" wrapText="false" indent="0" shrinkToFit="false"/>
      <protection locked="true" hidden="false"/>
    </xf>
    <xf numFmtId="170" fontId="17" fillId="2"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true" applyAlignment="true" applyProtection="false">
      <alignment horizontal="left" vertical="center" textRotation="0" wrapText="fals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border diagonalUp="false" diagonalDown="false">
        <left style="medium">
          <color rgb="FFC00000"/>
        </left>
        <right style="medium">
          <color rgb="FFC00000"/>
        </right>
        <top style="medium">
          <color rgb="FFC00000"/>
        </top>
        <bottom style="medium">
          <color rgb="FFC00000"/>
        </bottom>
        <diagonal/>
      </border>
    </dxf>
    <dxf>
      <font>
        <name val="Arial"/>
        <charset val="1"/>
        <family val="0"/>
        <b val="1"/>
        <color rgb="FF000000"/>
        <sz val="10"/>
      </font>
      <fill>
        <patternFill>
          <bgColor rgb="FF9DC3E6"/>
        </patternFill>
      </fill>
    </dxf>
    <dxf>
      <font>
        <name val="Arial"/>
        <charset val="1"/>
        <family val="0"/>
        <b val="1"/>
        <color rgb="FFFFFFFF"/>
        <sz val="10"/>
      </font>
      <fill>
        <patternFill>
          <bgColor rgb="FF2E75B6"/>
        </patternFill>
      </fill>
    </dxf>
    <dxf>
      <font>
        <name val="Arial"/>
        <charset val="1"/>
        <family val="0"/>
        <b val="1"/>
        <color rgb="FF000000"/>
        <sz val="10"/>
      </font>
      <fill>
        <patternFill>
          <bgColor rgb="FFFFE699"/>
        </patternFill>
      </fill>
    </dxf>
    <dxf>
      <font>
        <name val="Arial"/>
        <charset val="1"/>
        <family val="0"/>
        <b val="1"/>
        <color rgb="FF000000"/>
        <sz val="10"/>
      </font>
      <fill>
        <patternFill>
          <bgColor rgb="FFF4B183"/>
        </patternFill>
      </fill>
    </dxf>
    <dxf>
      <font>
        <name val="Arial"/>
        <charset val="1"/>
        <family val="0"/>
        <b val="1"/>
        <color rgb="FF000000"/>
        <sz val="10"/>
      </font>
      <fill>
        <patternFill>
          <bgColor rgb="FFC6E0B4"/>
        </patternFill>
      </fill>
    </dxf>
    <dxf>
      <font>
        <name val="Arial"/>
        <charset val="1"/>
        <family val="0"/>
        <b val="1"/>
        <color rgb="FF000000"/>
        <sz val="10"/>
      </font>
      <fill>
        <patternFill>
          <bgColor rgb="FFFFD966"/>
        </patternFill>
      </fill>
    </dxf>
    <dxf>
      <font>
        <name val="Arial"/>
        <charset val="1"/>
        <family val="0"/>
        <b val="1"/>
        <color rgb="FF000000"/>
        <sz val="10"/>
      </font>
      <fill>
        <patternFill>
          <bgColor rgb="FFD9D2E9"/>
        </patternFill>
      </fill>
    </dxf>
    <dxf>
      <font>
        <name val="Arial"/>
        <charset val="1"/>
        <family val="0"/>
        <b val="1"/>
        <color rgb="FF000000"/>
        <sz val="10"/>
      </font>
      <fill>
        <patternFill>
          <bgColor rgb="FFA9D08E"/>
        </patternFill>
      </fill>
    </dxf>
    <dxf>
      <font>
        <name val="Arial"/>
        <charset val="1"/>
        <family val="0"/>
        <b val="1"/>
        <color rgb="FF000000"/>
        <sz val="10"/>
      </font>
      <fill>
        <patternFill>
          <bgColor rgb="FF8FAADC"/>
        </patternFill>
      </fill>
    </dxf>
    <dxf>
      <font>
        <name val="Arial"/>
        <charset val="1"/>
        <family val="0"/>
        <b val="1"/>
        <color rgb="FF000000"/>
        <sz val="10"/>
      </font>
      <fill>
        <patternFill>
          <bgColor rgb="FFFFC7CE"/>
        </patternFill>
      </fill>
    </dxf>
    <dxf>
      <font>
        <name val="Arial"/>
        <charset val="1"/>
        <family val="0"/>
        <b val="1"/>
        <color rgb="FF000000"/>
        <sz val="10"/>
      </font>
      <fill>
        <patternFill>
          <bgColor rgb="FFB7DEE8"/>
        </patternFill>
      </fill>
    </dxf>
    <dxf>
      <font>
        <name val="Arial"/>
        <charset val="1"/>
        <family val="0"/>
        <b val="1"/>
        <color rgb="FF000000"/>
        <sz val="10"/>
      </font>
      <fill>
        <patternFill>
          <bgColor rgb="FFD5A6BD"/>
        </patternFill>
      </fill>
    </dxf>
    <dxf>
      <font>
        <name val="Arial"/>
        <charset val="1"/>
        <family val="0"/>
        <b val="1"/>
        <color rgb="FFFFFFFF"/>
        <sz val="11"/>
      </font>
      <fill>
        <patternFill>
          <bgColor rgb="FFED7D31"/>
        </patternFill>
      </fill>
    </dxf>
    <dxf>
      <font>
        <name val="Arial"/>
        <charset val="1"/>
        <family val="0"/>
        <b val="1"/>
        <color rgb="FFFFFFFF"/>
        <sz val="11"/>
      </font>
      <fill>
        <patternFill>
          <bgColor rgb="FF70AD47"/>
        </patternFill>
      </fill>
    </dxf>
    <dxf>
      <font>
        <name val="Arial"/>
        <charset val="1"/>
        <family val="0"/>
        <b val="1"/>
        <color rgb="FFFFFFFF"/>
        <sz val="11"/>
      </font>
      <fill>
        <patternFill>
          <bgColor rgb="FF375623"/>
        </patternFill>
      </fill>
    </dxf>
  </dxfs>
  <colors>
    <indexedColors>
      <rgbColor rgb="FF000000"/>
      <rgbColor rgb="FFFFFFFF"/>
      <rgbColor rgb="FFC00000"/>
      <rgbColor rgb="FF00FF00"/>
      <rgbColor rgb="FF0000FF"/>
      <rgbColor rgb="FFF2E4D8"/>
      <rgbColor rgb="FFFF00FF"/>
      <rgbColor rgb="FF00FFFF"/>
      <rgbColor rgb="FF800000"/>
      <rgbColor rgb="FF008000"/>
      <rgbColor rgb="FF000080"/>
      <rgbColor rgb="FFA6774B"/>
      <rgbColor rgb="FF800080"/>
      <rgbColor rgb="FF008080"/>
      <rgbColor rgb="FFD5A6BD"/>
      <rgbColor rgb="FF808080"/>
      <rgbColor rgb="FF8FAADC"/>
      <rgbColor rgb="FF993366"/>
      <rgbColor rgb="FFFFF2CC"/>
      <rgbColor rgb="FFF2F2F2"/>
      <rgbColor rgb="FF660066"/>
      <rgbColor rgb="FFFF8080"/>
      <rgbColor rgb="FF0563C1"/>
      <rgbColor rgb="FFD9D2E9"/>
      <rgbColor rgb="FF000080"/>
      <rgbColor rgb="FFFF00FF"/>
      <rgbColor rgb="FFE7E6E6"/>
      <rgbColor rgb="FF00FFFF"/>
      <rgbColor rgb="FF800080"/>
      <rgbColor rgb="FF800000"/>
      <rgbColor rgb="FF008080"/>
      <rgbColor rgb="FF0000FF"/>
      <rgbColor rgb="FF00CCFF"/>
      <rgbColor rgb="FFD9E2F3"/>
      <rgbColor rgb="FFC6E0B4"/>
      <rgbColor rgb="FFFFE699"/>
      <rgbColor rgb="FF9DC3E6"/>
      <rgbColor rgb="FFF4B183"/>
      <rgbColor rgb="FFB7DEE8"/>
      <rgbColor rgb="FFFFC7CE"/>
      <rgbColor rgb="FF2E75B6"/>
      <rgbColor rgb="FF33CCCC"/>
      <rgbColor rgb="FFA9D08E"/>
      <rgbColor rgb="FFFFD966"/>
      <rgbColor rgb="FFFF9900"/>
      <rgbColor rgb="FFED7D31"/>
      <rgbColor rgb="FF595959"/>
      <rgbColor rgb="FFA6A6A6"/>
      <rgbColor rgb="FF1F3864"/>
      <rgbColor rgb="FF70AD47"/>
      <rgbColor rgb="FF003300"/>
      <rgbColor rgb="FF375623"/>
      <rgbColor rgb="FF833C0C"/>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9" min="3" style="0" width="16"/>
    <col collapsed="false" customWidth="true" hidden="false" outlineLevel="0" max="12" min="10" style="0" width="14"/>
    <col collapsed="false" customWidth="true" hidden="false" outlineLevel="0" max="13" min="13" style="0" width="3"/>
    <col collapsed="false" customWidth="true" hidden="false" outlineLevel="0" max="14" min="14" style="0" width="26"/>
    <col collapsed="false" customWidth="true" hidden="false" outlineLevel="0" max="21" min="15" style="0" width="10"/>
    <col collapsed="false" customWidth="true" hidden="false" outlineLevel="0" max="22" min="22" style="0" width="3"/>
    <col collapsed="false" customWidth="true" hidden="false" outlineLevel="0" max="23" min="23" style="0" width="18"/>
    <col collapsed="false" customWidth="true" hidden="false" outlineLevel="0" max="24" min="24" style="0" width="12"/>
    <col collapsed="false" customWidth="true" hidden="false" outlineLevel="0" max="26" min="25" style="0" width="10"/>
  </cols>
  <sheetData>
    <row r="1" customFormat="false" ht="30" hidden="false" customHeight="true" outlineLevel="0" collapsed="false">
      <c r="B1" s="1" t="s">
        <v>0</v>
      </c>
      <c r="C1" s="1"/>
      <c r="D1" s="1"/>
      <c r="E1" s="1"/>
      <c r="F1" s="1"/>
      <c r="G1" s="1"/>
      <c r="H1" s="1"/>
      <c r="I1" s="1"/>
    </row>
    <row r="2" customFormat="false" ht="25.5" hidden="false" customHeight="true" outlineLevel="0" collapsed="false">
      <c r="B2" s="2" t="s">
        <v>1</v>
      </c>
      <c r="C2" s="2"/>
      <c r="D2" s="2"/>
      <c r="E2" s="2"/>
      <c r="F2" s="2"/>
      <c r="G2" s="2"/>
      <c r="H2" s="2"/>
      <c r="I2" s="2"/>
    </row>
    <row r="3" customFormat="false" ht="15" hidden="false" customHeight="false" outlineLevel="0" collapsed="false">
      <c r="N3" s="3" t="s">
        <v>2</v>
      </c>
      <c r="O3" s="3"/>
      <c r="W3" s="4" t="s">
        <v>3</v>
      </c>
      <c r="X3" s="4" t="s">
        <v>4</v>
      </c>
      <c r="Y3" s="4" t="s">
        <v>5</v>
      </c>
      <c r="Z3" s="4" t="s">
        <v>6</v>
      </c>
    </row>
    <row r="4" customFormat="false" ht="15" hidden="false" customHeight="false" outlineLevel="0" collapsed="false">
      <c r="B4" s="5" t="s">
        <v>7</v>
      </c>
      <c r="C4" s="6" t="s">
        <v>8</v>
      </c>
      <c r="D4" s="6"/>
      <c r="E4" s="7" t="s">
        <v>9</v>
      </c>
      <c r="N4" s="8" t="s">
        <v>10</v>
      </c>
      <c r="O4" s="9" t="n">
        <f aca="false">INDEX($X$4:$X$15,MATCH($C$4,$W$4:$W$15,0))</f>
        <v>46478</v>
      </c>
      <c r="W4" s="10" t="s">
        <v>8</v>
      </c>
      <c r="X4" s="11" t="n">
        <f aca="false">DATE(2027,4,1)</f>
        <v>46478</v>
      </c>
      <c r="Y4" s="12" t="s">
        <v>11</v>
      </c>
      <c r="Z4" s="12" t="s">
        <v>12</v>
      </c>
    </row>
    <row r="5" customFormat="false" ht="15" hidden="false" customHeight="false" outlineLevel="0" collapsed="false">
      <c r="B5" s="5" t="s">
        <v>13</v>
      </c>
      <c r="C5" s="6" t="s">
        <v>14</v>
      </c>
      <c r="D5" s="6"/>
      <c r="E5" s="13" t="s">
        <v>15</v>
      </c>
      <c r="G5" s="13" t="s">
        <v>16</v>
      </c>
      <c r="N5" s="8" t="s">
        <v>17</v>
      </c>
      <c r="O5" s="9" t="n">
        <f aca="false">EOMONTH($O$4,0)</f>
        <v>46507</v>
      </c>
      <c r="W5" s="10" t="s">
        <v>18</v>
      </c>
      <c r="X5" s="11" t="n">
        <f aca="false">DATE(2027,5,1)</f>
        <v>46508</v>
      </c>
      <c r="Y5" s="12" t="s">
        <v>19</v>
      </c>
      <c r="Z5" s="12" t="s">
        <v>20</v>
      </c>
    </row>
    <row r="6" customFormat="false" ht="15" hidden="false" customHeight="false" outlineLevel="0" collapsed="false">
      <c r="B6" s="14" t="s">
        <v>21</v>
      </c>
      <c r="C6" s="14"/>
      <c r="D6" s="14"/>
      <c r="E6" s="14"/>
      <c r="F6" s="14"/>
      <c r="G6" s="14"/>
      <c r="H6" s="14"/>
      <c r="I6" s="14"/>
      <c r="N6" s="8" t="s">
        <v>22</v>
      </c>
      <c r="O6" s="9" t="n">
        <f aca="false">$O$4-WEEKDAY($O$4,3)</f>
        <v>46475</v>
      </c>
      <c r="W6" s="10" t="s">
        <v>23</v>
      </c>
      <c r="X6" s="11" t="n">
        <f aca="false">DATE(2027,6,1)</f>
        <v>46539</v>
      </c>
      <c r="Y6" s="12" t="s">
        <v>24</v>
      </c>
      <c r="Z6" s="12" t="s">
        <v>25</v>
      </c>
    </row>
    <row r="7" customFormat="false" ht="15" hidden="false" customHeight="false" outlineLevel="0" collapsed="false">
      <c r="B7" s="15" t="s">
        <v>26</v>
      </c>
      <c r="C7" s="15" t="s">
        <v>27</v>
      </c>
      <c r="D7" s="15" t="s">
        <v>28</v>
      </c>
      <c r="E7" s="15" t="s">
        <v>29</v>
      </c>
      <c r="F7" s="15" t="s">
        <v>30</v>
      </c>
      <c r="G7" s="15" t="s">
        <v>31</v>
      </c>
      <c r="H7" s="15" t="s">
        <v>32</v>
      </c>
      <c r="I7" s="15" t="s">
        <v>33</v>
      </c>
      <c r="N7" s="8" t="s">
        <v>34</v>
      </c>
      <c r="O7" s="16" t="n">
        <f aca="false">MATCH($C$4,$W$4:$W$15,0)</f>
        <v>1</v>
      </c>
      <c r="W7" s="10" t="s">
        <v>35</v>
      </c>
      <c r="X7" s="11" t="n">
        <f aca="false">DATE(2027,7,1)</f>
        <v>46569</v>
      </c>
      <c r="Z7" s="12" t="s">
        <v>36</v>
      </c>
    </row>
    <row r="8" customFormat="false" ht="30" hidden="false" customHeight="true" outlineLevel="0" collapsed="false">
      <c r="B8" s="17" t="s">
        <v>37</v>
      </c>
      <c r="C8" s="18" t="str">
        <f aca="false">IF(C9="","",TRIM($O$17&amp;IF(SUMIFS('Vols additionnels'!$E$7:$E$66,'Vols additionnels'!$C$7:$C$66,$C$5,'Vols additionnels'!$B$7:$B$66,C9)=0,""," (+"&amp;IF(COUNTIFS('Vols additionnels'!$C$7:$C$66,$C$5,'Vols additionnels'!$B$7:$B$66,C9)=1,IF(SUMIFS('Vols additionnels'!$E$7:$E$66,'Vols additionnels'!$C$7:$C$66,$C$5,'Vols additionnels'!$B$7:$B$66,C9)=1,IFERROR(INDEX('Vols additionnels'!$D$7:$D$66,MATCH(C9&amp;"|"&amp;$C$5,'Vols additionnels'!$H$7:$H$66,0)),""),SUMIFS('Vols additionnels'!$E$7:$E$66,'Vols additionnels'!$C$7:$C$66,$C$5,'Vols additionnels'!$B$7:$B$66,C9)&amp;"x"&amp;IFERROR(INDEX('Vols additionnels'!$D$7:$D$66,MATCH(C9&amp;"|"&amp;$C$5,'Vols additionnels'!$H$7:$H$66,0)),"")),SUMIFS('Vols additionnels'!$E$7:$E$66,'Vols additionnels'!$C$7:$C$66,$C$5,'Vols additionnels'!$B$7:$B$66,C9)&amp;" vols")&amp;")"))&amp;IF($O$18="","",IF(TRIM($O$17&amp;IF(SUMIFS('Vols additionnels'!$E$7:$E$66,'Vols additionnels'!$C$7:$C$66,$C$5,'Vols additionnels'!$B$7:$B$66,C9)=0,""," (+"&amp;IF(COUNTIFS('Vols additionnels'!$C$7:$C$66,$C$5,'Vols additionnels'!$B$7:$B$66,C9)=1,IF(SUMIFS('Vols additionnels'!$E$7:$E$66,'Vols additionnels'!$C$7:$C$66,$C$5,'Vols additionnels'!$B$7:$B$66,C9)=1,IFERROR(INDEX('Vols additionnels'!$D$7:$D$66,MATCH(C9&amp;"|"&amp;$C$5,'Vols additionnels'!$H$7:$H$66,0)),""),SUMIFS('Vols additionnels'!$E$7:$E$66,'Vols additionnels'!$C$7:$C$66,$C$5,'Vols additionnels'!$B$7:$B$66,C9)&amp;"x"&amp;IFERROR(INDEX('Vols additionnels'!$D$7:$D$66,MATCH(C9&amp;"|"&amp;$C$5,'Vols additionnels'!$H$7:$H$66,0)),"")),SUMIFS('Vols additionnels'!$E$7:$E$66,'Vols additionnels'!$C$7:$C$66,$C$5,'Vols additionnels'!$B$7:$B$66,C9)&amp;" vols")&amp;")"))="","",CHAR(10))&amp;"&lt; "&amp;$O$18))</f>
        <v/>
      </c>
      <c r="D8" s="18" t="str">
        <f aca="false">IF(D9="","",TRIM($P$17&amp;IF(SUMIFS('Vols additionnels'!$E$7:$E$66,'Vols additionnels'!$C$7:$C$66,$C$5,'Vols additionnels'!$B$7:$B$66,D9)=0,""," (+"&amp;IF(COUNTIFS('Vols additionnels'!$C$7:$C$66,$C$5,'Vols additionnels'!$B$7:$B$66,D9)=1,IF(SUMIFS('Vols additionnels'!$E$7:$E$66,'Vols additionnels'!$C$7:$C$66,$C$5,'Vols additionnels'!$B$7:$B$66,D9)=1,IFERROR(INDEX('Vols additionnels'!$D$7:$D$66,MATCH(D9&amp;"|"&amp;$C$5,'Vols additionnels'!$H$7:$H$66,0)),""),SUMIFS('Vols additionnels'!$E$7:$E$66,'Vols additionnels'!$C$7:$C$66,$C$5,'Vols additionnels'!$B$7:$B$66,D9)&amp;"x"&amp;IFERROR(INDEX('Vols additionnels'!$D$7:$D$66,MATCH(D9&amp;"|"&amp;$C$5,'Vols additionnels'!$H$7:$H$66,0)),"")),SUMIFS('Vols additionnels'!$E$7:$E$66,'Vols additionnels'!$C$7:$C$66,$C$5,'Vols additionnels'!$B$7:$B$66,D9)&amp;" vols")&amp;")"))&amp;IF($P$18="","",IF(TRIM($P$17&amp;IF(SUMIFS('Vols additionnels'!$E$7:$E$66,'Vols additionnels'!$C$7:$C$66,$C$5,'Vols additionnels'!$B$7:$B$66,D9)=0,""," (+"&amp;IF(COUNTIFS('Vols additionnels'!$C$7:$C$66,$C$5,'Vols additionnels'!$B$7:$B$66,D9)=1,IF(SUMIFS('Vols additionnels'!$E$7:$E$66,'Vols additionnels'!$C$7:$C$66,$C$5,'Vols additionnels'!$B$7:$B$66,D9)=1,IFERROR(INDEX('Vols additionnels'!$D$7:$D$66,MATCH(D9&amp;"|"&amp;$C$5,'Vols additionnels'!$H$7:$H$66,0)),""),SUMIFS('Vols additionnels'!$E$7:$E$66,'Vols additionnels'!$C$7:$C$66,$C$5,'Vols additionnels'!$B$7:$B$66,D9)&amp;"x"&amp;IFERROR(INDEX('Vols additionnels'!$D$7:$D$66,MATCH(D9&amp;"|"&amp;$C$5,'Vols additionnels'!$H$7:$H$66,0)),"")),SUMIFS('Vols additionnels'!$E$7:$E$66,'Vols additionnels'!$C$7:$C$66,$C$5,'Vols additionnels'!$B$7:$B$66,D9)&amp;" vols")&amp;")"))="","",CHAR(10))&amp;"&lt; "&amp;$P$18))</f>
        <v/>
      </c>
      <c r="E8" s="18" t="str">
        <f aca="false">IF(E9="","",TRIM($Q$17&amp;IF(SUMIFS('Vols additionnels'!$E$7:$E$66,'Vols additionnels'!$C$7:$C$66,$C$5,'Vols additionnels'!$B$7:$B$66,E9)=0,""," (+"&amp;IF(COUNTIFS('Vols additionnels'!$C$7:$C$66,$C$5,'Vols additionnels'!$B$7:$B$66,E9)=1,IF(SUMIFS('Vols additionnels'!$E$7:$E$66,'Vols additionnels'!$C$7:$C$66,$C$5,'Vols additionnels'!$B$7:$B$66,E9)=1,IFERROR(INDEX('Vols additionnels'!$D$7:$D$66,MATCH(E9&amp;"|"&amp;$C$5,'Vols additionnels'!$H$7:$H$66,0)),""),SUMIFS('Vols additionnels'!$E$7:$E$66,'Vols additionnels'!$C$7:$C$66,$C$5,'Vols additionnels'!$B$7:$B$66,E9)&amp;"x"&amp;IFERROR(INDEX('Vols additionnels'!$D$7:$D$66,MATCH(E9&amp;"|"&amp;$C$5,'Vols additionnels'!$H$7:$H$66,0)),"")),SUMIFS('Vols additionnels'!$E$7:$E$66,'Vols additionnels'!$C$7:$C$66,$C$5,'Vols additionnels'!$B$7:$B$66,E9)&amp;" vols")&amp;")"))&amp;IF($Q$18="","",IF(TRIM($Q$17&amp;IF(SUMIFS('Vols additionnels'!$E$7:$E$66,'Vols additionnels'!$C$7:$C$66,$C$5,'Vols additionnels'!$B$7:$B$66,E9)=0,""," (+"&amp;IF(COUNTIFS('Vols additionnels'!$C$7:$C$66,$C$5,'Vols additionnels'!$B$7:$B$66,E9)=1,IF(SUMIFS('Vols additionnels'!$E$7:$E$66,'Vols additionnels'!$C$7:$C$66,$C$5,'Vols additionnels'!$B$7:$B$66,E9)=1,IFERROR(INDEX('Vols additionnels'!$D$7:$D$66,MATCH(E9&amp;"|"&amp;$C$5,'Vols additionnels'!$H$7:$H$66,0)),""),SUMIFS('Vols additionnels'!$E$7:$E$66,'Vols additionnels'!$C$7:$C$66,$C$5,'Vols additionnels'!$B$7:$B$66,E9)&amp;"x"&amp;IFERROR(INDEX('Vols additionnels'!$D$7:$D$66,MATCH(E9&amp;"|"&amp;$C$5,'Vols additionnels'!$H$7:$H$66,0)),"")),SUMIFS('Vols additionnels'!$E$7:$E$66,'Vols additionnels'!$C$7:$C$66,$C$5,'Vols additionnels'!$B$7:$B$66,E9)&amp;" vols")&amp;")"))="","",CHAR(10))&amp;"&lt; "&amp;$Q$18))</f>
        <v/>
      </c>
      <c r="F8" s="18" t="str">
        <f aca="false">IF(F9="","",TRIM($R$17&amp;IF(SUMIFS('Vols additionnels'!$E$7:$E$66,'Vols additionnels'!$C$7:$C$66,$C$5,'Vols additionnels'!$B$7:$B$66,F9)=0,""," (+"&amp;IF(COUNTIFS('Vols additionnels'!$C$7:$C$66,$C$5,'Vols additionnels'!$B$7:$B$66,F9)=1,IF(SUMIFS('Vols additionnels'!$E$7:$E$66,'Vols additionnels'!$C$7:$C$66,$C$5,'Vols additionnels'!$B$7:$B$66,F9)=1,IFERROR(INDEX('Vols additionnels'!$D$7:$D$66,MATCH(F9&amp;"|"&amp;$C$5,'Vols additionnels'!$H$7:$H$66,0)),""),SUMIFS('Vols additionnels'!$E$7:$E$66,'Vols additionnels'!$C$7:$C$66,$C$5,'Vols additionnels'!$B$7:$B$66,F9)&amp;"x"&amp;IFERROR(INDEX('Vols additionnels'!$D$7:$D$66,MATCH(F9&amp;"|"&amp;$C$5,'Vols additionnels'!$H$7:$H$66,0)),"")),SUMIFS('Vols additionnels'!$E$7:$E$66,'Vols additionnels'!$C$7:$C$66,$C$5,'Vols additionnels'!$B$7:$B$66,F9)&amp;" vols")&amp;")"))&amp;IF($R$18="","",IF(TRIM($R$17&amp;IF(SUMIFS('Vols additionnels'!$E$7:$E$66,'Vols additionnels'!$C$7:$C$66,$C$5,'Vols additionnels'!$B$7:$B$66,F9)=0,""," (+"&amp;IF(COUNTIFS('Vols additionnels'!$C$7:$C$66,$C$5,'Vols additionnels'!$B$7:$B$66,F9)=1,IF(SUMIFS('Vols additionnels'!$E$7:$E$66,'Vols additionnels'!$C$7:$C$66,$C$5,'Vols additionnels'!$B$7:$B$66,F9)=1,IFERROR(INDEX('Vols additionnels'!$D$7:$D$66,MATCH(F9&amp;"|"&amp;$C$5,'Vols additionnels'!$H$7:$H$66,0)),""),SUMIFS('Vols additionnels'!$E$7:$E$66,'Vols additionnels'!$C$7:$C$66,$C$5,'Vols additionnels'!$B$7:$B$66,F9)&amp;"x"&amp;IFERROR(INDEX('Vols additionnels'!$D$7:$D$66,MATCH(F9&amp;"|"&amp;$C$5,'Vols additionnels'!$H$7:$H$66,0)),"")),SUMIFS('Vols additionnels'!$E$7:$E$66,'Vols additionnels'!$C$7:$C$66,$C$5,'Vols additionnels'!$B$7:$B$66,F9)&amp;" vols")&amp;")"))="","",CHAR(10))&amp;"&lt; "&amp;$R$18))</f>
        <v>A320</v>
      </c>
      <c r="G8" s="18" t="str">
        <f aca="false">IF(G9="","",TRIM($S$17&amp;IF(SUMIFS('Vols additionnels'!$E$7:$E$66,'Vols additionnels'!$C$7:$C$66,$C$5,'Vols additionnels'!$B$7:$B$66,G9)=0,""," (+"&amp;IF(COUNTIFS('Vols additionnels'!$C$7:$C$66,$C$5,'Vols additionnels'!$B$7:$B$66,G9)=1,IF(SUMIFS('Vols additionnels'!$E$7:$E$66,'Vols additionnels'!$C$7:$C$66,$C$5,'Vols additionnels'!$B$7:$B$66,G9)=1,IFERROR(INDEX('Vols additionnels'!$D$7:$D$66,MATCH(G9&amp;"|"&amp;$C$5,'Vols additionnels'!$H$7:$H$66,0)),""),SUMIFS('Vols additionnels'!$E$7:$E$66,'Vols additionnels'!$C$7:$C$66,$C$5,'Vols additionnels'!$B$7:$B$66,G9)&amp;"x"&amp;IFERROR(INDEX('Vols additionnels'!$D$7:$D$66,MATCH(G9&amp;"|"&amp;$C$5,'Vols additionnels'!$H$7:$H$66,0)),"")),SUMIFS('Vols additionnels'!$E$7:$E$66,'Vols additionnels'!$C$7:$C$66,$C$5,'Vols additionnels'!$B$7:$B$66,G9)&amp;" vols")&amp;")"))&amp;IF($S$18="","",IF(TRIM($S$17&amp;IF(SUMIFS('Vols additionnels'!$E$7:$E$66,'Vols additionnels'!$C$7:$C$66,$C$5,'Vols additionnels'!$B$7:$B$66,G9)=0,""," (+"&amp;IF(COUNTIFS('Vols additionnels'!$C$7:$C$66,$C$5,'Vols additionnels'!$B$7:$B$66,G9)=1,IF(SUMIFS('Vols additionnels'!$E$7:$E$66,'Vols additionnels'!$C$7:$C$66,$C$5,'Vols additionnels'!$B$7:$B$66,G9)=1,IFERROR(INDEX('Vols additionnels'!$D$7:$D$66,MATCH(G9&amp;"|"&amp;$C$5,'Vols additionnels'!$H$7:$H$66,0)),""),SUMIFS('Vols additionnels'!$E$7:$E$66,'Vols additionnels'!$C$7:$C$66,$C$5,'Vols additionnels'!$B$7:$B$66,G9)&amp;"x"&amp;IFERROR(INDEX('Vols additionnels'!$D$7:$D$66,MATCH(G9&amp;"|"&amp;$C$5,'Vols additionnels'!$H$7:$H$66,0)),"")),SUMIFS('Vols additionnels'!$E$7:$E$66,'Vols additionnels'!$C$7:$C$66,$C$5,'Vols additionnels'!$B$7:$B$66,G9)&amp;" vols")&amp;")"))="","",CHAR(10))&amp;"&lt; "&amp;$S$18))</f>
        <v/>
      </c>
      <c r="H8" s="18" t="str">
        <f aca="false">IF(H9="","",TRIM($T$17&amp;IF(SUMIFS('Vols additionnels'!$E$7:$E$66,'Vols additionnels'!$C$7:$C$66,$C$5,'Vols additionnels'!$B$7:$B$66,H9)=0,""," (+"&amp;IF(COUNTIFS('Vols additionnels'!$C$7:$C$66,$C$5,'Vols additionnels'!$B$7:$B$66,H9)=1,IF(SUMIFS('Vols additionnels'!$E$7:$E$66,'Vols additionnels'!$C$7:$C$66,$C$5,'Vols additionnels'!$B$7:$B$66,H9)=1,IFERROR(INDEX('Vols additionnels'!$D$7:$D$66,MATCH(H9&amp;"|"&amp;$C$5,'Vols additionnels'!$H$7:$H$66,0)),""),SUMIFS('Vols additionnels'!$E$7:$E$66,'Vols additionnels'!$C$7:$C$66,$C$5,'Vols additionnels'!$B$7:$B$66,H9)&amp;"x"&amp;IFERROR(INDEX('Vols additionnels'!$D$7:$D$66,MATCH(H9&amp;"|"&amp;$C$5,'Vols additionnels'!$H$7:$H$66,0)),"")),SUMIFS('Vols additionnels'!$E$7:$E$66,'Vols additionnels'!$C$7:$C$66,$C$5,'Vols additionnels'!$B$7:$B$66,H9)&amp;" vols")&amp;")"))&amp;IF($T$18="","",IF(TRIM($T$17&amp;IF(SUMIFS('Vols additionnels'!$E$7:$E$66,'Vols additionnels'!$C$7:$C$66,$C$5,'Vols additionnels'!$B$7:$B$66,H9)=0,""," (+"&amp;IF(COUNTIFS('Vols additionnels'!$C$7:$C$66,$C$5,'Vols additionnels'!$B$7:$B$66,H9)=1,IF(SUMIFS('Vols additionnels'!$E$7:$E$66,'Vols additionnels'!$C$7:$C$66,$C$5,'Vols additionnels'!$B$7:$B$66,H9)=1,IFERROR(INDEX('Vols additionnels'!$D$7:$D$66,MATCH(H9&amp;"|"&amp;$C$5,'Vols additionnels'!$H$7:$H$66,0)),""),SUMIFS('Vols additionnels'!$E$7:$E$66,'Vols additionnels'!$C$7:$C$66,$C$5,'Vols additionnels'!$B$7:$B$66,H9)&amp;"x"&amp;IFERROR(INDEX('Vols additionnels'!$D$7:$D$66,MATCH(H9&amp;"|"&amp;$C$5,'Vols additionnels'!$H$7:$H$66,0)),"")),SUMIFS('Vols additionnels'!$E$7:$E$66,'Vols additionnels'!$C$7:$C$66,$C$5,'Vols additionnels'!$B$7:$B$66,H9)&amp;" vols")&amp;")"))="","",CHAR(10))&amp;"&lt; "&amp;$T$18))</f>
        <v>A320</v>
      </c>
      <c r="I8" s="18" t="str">
        <f aca="false">IF(I9="","",TRIM($U$17&amp;IF(SUMIFS('Vols additionnels'!$E$7:$E$66,'Vols additionnels'!$C$7:$C$66,$C$5,'Vols additionnels'!$B$7:$B$66,I9)=0,""," (+"&amp;IF(COUNTIFS('Vols additionnels'!$C$7:$C$66,$C$5,'Vols additionnels'!$B$7:$B$66,I9)=1,IF(SUMIFS('Vols additionnels'!$E$7:$E$66,'Vols additionnels'!$C$7:$C$66,$C$5,'Vols additionnels'!$B$7:$B$66,I9)=1,IFERROR(INDEX('Vols additionnels'!$D$7:$D$66,MATCH(I9&amp;"|"&amp;$C$5,'Vols additionnels'!$H$7:$H$66,0)),""),SUMIFS('Vols additionnels'!$E$7:$E$66,'Vols additionnels'!$C$7:$C$66,$C$5,'Vols additionnels'!$B$7:$B$66,I9)&amp;"x"&amp;IFERROR(INDEX('Vols additionnels'!$D$7:$D$66,MATCH(I9&amp;"|"&amp;$C$5,'Vols additionnels'!$H$7:$H$66,0)),"")),SUMIFS('Vols additionnels'!$E$7:$E$66,'Vols additionnels'!$C$7:$C$66,$C$5,'Vols additionnels'!$B$7:$B$66,I9)&amp;" vols")&amp;")"))&amp;IF($U$18="","",IF(TRIM($U$17&amp;IF(SUMIFS('Vols additionnels'!$E$7:$E$66,'Vols additionnels'!$C$7:$C$66,$C$5,'Vols additionnels'!$B$7:$B$66,I9)=0,""," (+"&amp;IF(COUNTIFS('Vols additionnels'!$C$7:$C$66,$C$5,'Vols additionnels'!$B$7:$B$66,I9)=1,IF(SUMIFS('Vols additionnels'!$E$7:$E$66,'Vols additionnels'!$C$7:$C$66,$C$5,'Vols additionnels'!$B$7:$B$66,I9)=1,IFERROR(INDEX('Vols additionnels'!$D$7:$D$66,MATCH(I9&amp;"|"&amp;$C$5,'Vols additionnels'!$H$7:$H$66,0)),""),SUMIFS('Vols additionnels'!$E$7:$E$66,'Vols additionnels'!$C$7:$C$66,$C$5,'Vols additionnels'!$B$7:$B$66,I9)&amp;"x"&amp;IFERROR(INDEX('Vols additionnels'!$D$7:$D$66,MATCH(I9&amp;"|"&amp;$C$5,'Vols additionnels'!$H$7:$H$66,0)),"")),SUMIFS('Vols additionnels'!$E$7:$E$66,'Vols additionnels'!$C$7:$C$66,$C$5,'Vols additionnels'!$B$7:$B$66,I9)&amp;" vols")&amp;")"))="","",CHAR(10))&amp;"&lt; "&amp;$U$18))</f>
        <v/>
      </c>
      <c r="N8" s="8" t="s">
        <v>38</v>
      </c>
      <c r="O8" s="19" t="str">
        <f aca="false">IFERROR(INDEX($C$25:$C$36,MATCH($C$5,$B$25:$B$36,0)),"")</f>
        <v>A320(3)</v>
      </c>
      <c r="W8" s="10" t="s">
        <v>39</v>
      </c>
      <c r="X8" s="11" t="n">
        <f aca="false">DATE(2027,8,1)</f>
        <v>46600</v>
      </c>
      <c r="Z8" s="12" t="s">
        <v>40</v>
      </c>
    </row>
    <row r="9" customFormat="false" ht="13.5" hidden="false" customHeight="true" outlineLevel="0" collapsed="false">
      <c r="B9" s="20" t="str">
        <f aca="false">IF(COUNT(C9:I9)=0,"","du "&amp;TEXT(MIN(C9:I9),"DD/MM")&amp;" au "&amp;TEXT(MAX(C9:I9),"DD/MM"))</f>
        <v>du 01/04 au 04/04</v>
      </c>
      <c r="C9" s="21" t="str">
        <f aca="false">IF(OR($O$6+0&lt;$O$4,$O$6+0&gt;$O$5),"",$O$6+0)</f>
        <v/>
      </c>
      <c r="D9" s="21" t="str">
        <f aca="false">IF(OR($O$6+1&lt;$O$4,$O$6+1&gt;$O$5),"",$O$6+1)</f>
        <v/>
      </c>
      <c r="E9" s="21" t="str">
        <f aca="false">IF(OR($O$6+2&lt;$O$4,$O$6+2&gt;$O$5),"",$O$6+2)</f>
        <v/>
      </c>
      <c r="F9" s="21" t="n">
        <f aca="false">IF(OR($O$6+3&lt;$O$4,$O$6+3&gt;$O$5),"",$O$6+3)</f>
        <v>46478</v>
      </c>
      <c r="G9" s="21" t="n">
        <f aca="false">IF(OR($O$6+4&lt;$O$4,$O$6+4&gt;$O$5),"",$O$6+4)</f>
        <v>46479</v>
      </c>
      <c r="H9" s="21" t="n">
        <f aca="false">IF(OR($O$6+5&lt;$O$4,$O$6+5&gt;$O$5),"",$O$6+5)</f>
        <v>46480</v>
      </c>
      <c r="I9" s="21" t="n">
        <f aca="false">IF(OR($O$6+6&lt;$O$4,$O$6+6&gt;$O$5),"",$O$6+6)</f>
        <v>46481</v>
      </c>
      <c r="N9" s="8" t="s">
        <v>41</v>
      </c>
      <c r="O9" s="16" t="n">
        <f aca="false">IFERROR(INDEX($E$25:$E$36,MATCH($C$5,$B$25:$B$36,0)),"")</f>
        <v>3</v>
      </c>
      <c r="W9" s="10" t="s">
        <v>42</v>
      </c>
      <c r="X9" s="11" t="n">
        <f aca="false">DATE(2027,9,1)</f>
        <v>46631</v>
      </c>
      <c r="Z9" s="12" t="s">
        <v>14</v>
      </c>
    </row>
    <row r="10" customFormat="false" ht="30" hidden="false" customHeight="true" outlineLevel="0" collapsed="false">
      <c r="B10" s="17" t="s">
        <v>43</v>
      </c>
      <c r="C10" s="18" t="str">
        <f aca="false">IF(C11="","",TRIM($O$17&amp;IF(SUMIFS('Vols additionnels'!$E$7:$E$66,'Vols additionnels'!$C$7:$C$66,$C$5,'Vols additionnels'!$B$7:$B$66,C11)=0,""," (+"&amp;IF(COUNTIFS('Vols additionnels'!$C$7:$C$66,$C$5,'Vols additionnels'!$B$7:$B$66,C11)=1,IF(SUMIFS('Vols additionnels'!$E$7:$E$66,'Vols additionnels'!$C$7:$C$66,$C$5,'Vols additionnels'!$B$7:$B$66,C11)=1,IFERROR(INDEX('Vols additionnels'!$D$7:$D$66,MATCH(C11&amp;"|"&amp;$C$5,'Vols additionnels'!$H$7:$H$66,0)),""),SUMIFS('Vols additionnels'!$E$7:$E$66,'Vols additionnels'!$C$7:$C$66,$C$5,'Vols additionnels'!$B$7:$B$66,C11)&amp;"x"&amp;IFERROR(INDEX('Vols additionnels'!$D$7:$D$66,MATCH(C11&amp;"|"&amp;$C$5,'Vols additionnels'!$H$7:$H$66,0)),"")),SUMIFS('Vols additionnels'!$E$7:$E$66,'Vols additionnels'!$C$7:$C$66,$C$5,'Vols additionnels'!$B$7:$B$66,C11)&amp;" vols")&amp;")"))&amp;IF($O$18="","",IF(TRIM($O$17&amp;IF(SUMIFS('Vols additionnels'!$E$7:$E$66,'Vols additionnels'!$C$7:$C$66,$C$5,'Vols additionnels'!$B$7:$B$66,C11)=0,""," (+"&amp;IF(COUNTIFS('Vols additionnels'!$C$7:$C$66,$C$5,'Vols additionnels'!$B$7:$B$66,C11)=1,IF(SUMIFS('Vols additionnels'!$E$7:$E$66,'Vols additionnels'!$C$7:$C$66,$C$5,'Vols additionnels'!$B$7:$B$66,C11)=1,IFERROR(INDEX('Vols additionnels'!$D$7:$D$66,MATCH(C11&amp;"|"&amp;$C$5,'Vols additionnels'!$H$7:$H$66,0)),""),SUMIFS('Vols additionnels'!$E$7:$E$66,'Vols additionnels'!$C$7:$C$66,$C$5,'Vols additionnels'!$B$7:$B$66,C11)&amp;"x"&amp;IFERROR(INDEX('Vols additionnels'!$D$7:$D$66,MATCH(C11&amp;"|"&amp;$C$5,'Vols additionnels'!$H$7:$H$66,0)),"")),SUMIFS('Vols additionnels'!$E$7:$E$66,'Vols additionnels'!$C$7:$C$66,$C$5,'Vols additionnels'!$B$7:$B$66,C11)&amp;" vols")&amp;")"))="","",CHAR(10))&amp;"&lt; "&amp;$O$18))</f>
        <v>A320</v>
      </c>
      <c r="D10" s="18" t="str">
        <f aca="false">IF(D11="","",TRIM($P$17&amp;IF(SUMIFS('Vols additionnels'!$E$7:$E$66,'Vols additionnels'!$C$7:$C$66,$C$5,'Vols additionnels'!$B$7:$B$66,D11)=0,""," (+"&amp;IF(COUNTIFS('Vols additionnels'!$C$7:$C$66,$C$5,'Vols additionnels'!$B$7:$B$66,D11)=1,IF(SUMIFS('Vols additionnels'!$E$7:$E$66,'Vols additionnels'!$C$7:$C$66,$C$5,'Vols additionnels'!$B$7:$B$66,D11)=1,IFERROR(INDEX('Vols additionnels'!$D$7:$D$66,MATCH(D11&amp;"|"&amp;$C$5,'Vols additionnels'!$H$7:$H$66,0)),""),SUMIFS('Vols additionnels'!$E$7:$E$66,'Vols additionnels'!$C$7:$C$66,$C$5,'Vols additionnels'!$B$7:$B$66,D11)&amp;"x"&amp;IFERROR(INDEX('Vols additionnels'!$D$7:$D$66,MATCH(D11&amp;"|"&amp;$C$5,'Vols additionnels'!$H$7:$H$66,0)),"")),SUMIFS('Vols additionnels'!$E$7:$E$66,'Vols additionnels'!$C$7:$C$66,$C$5,'Vols additionnels'!$B$7:$B$66,D11)&amp;" vols")&amp;")"))&amp;IF($P$18="","",IF(TRIM($P$17&amp;IF(SUMIFS('Vols additionnels'!$E$7:$E$66,'Vols additionnels'!$C$7:$C$66,$C$5,'Vols additionnels'!$B$7:$B$66,D11)=0,""," (+"&amp;IF(COUNTIFS('Vols additionnels'!$C$7:$C$66,$C$5,'Vols additionnels'!$B$7:$B$66,D11)=1,IF(SUMIFS('Vols additionnels'!$E$7:$E$66,'Vols additionnels'!$C$7:$C$66,$C$5,'Vols additionnels'!$B$7:$B$66,D11)=1,IFERROR(INDEX('Vols additionnels'!$D$7:$D$66,MATCH(D11&amp;"|"&amp;$C$5,'Vols additionnels'!$H$7:$H$66,0)),""),SUMIFS('Vols additionnels'!$E$7:$E$66,'Vols additionnels'!$C$7:$C$66,$C$5,'Vols additionnels'!$B$7:$B$66,D11)&amp;"x"&amp;IFERROR(INDEX('Vols additionnels'!$D$7:$D$66,MATCH(D11&amp;"|"&amp;$C$5,'Vols additionnels'!$H$7:$H$66,0)),"")),SUMIFS('Vols additionnels'!$E$7:$E$66,'Vols additionnels'!$C$7:$C$66,$C$5,'Vols additionnels'!$B$7:$B$66,D11)&amp;" vols")&amp;")"))="","",CHAR(10))&amp;"&lt; "&amp;$P$18))</f>
        <v/>
      </c>
      <c r="E10" s="18" t="str">
        <f aca="false">IF(E11="","",TRIM($Q$17&amp;IF(SUMIFS('Vols additionnels'!$E$7:$E$66,'Vols additionnels'!$C$7:$C$66,$C$5,'Vols additionnels'!$B$7:$B$66,E11)=0,""," (+"&amp;IF(COUNTIFS('Vols additionnels'!$C$7:$C$66,$C$5,'Vols additionnels'!$B$7:$B$66,E11)=1,IF(SUMIFS('Vols additionnels'!$E$7:$E$66,'Vols additionnels'!$C$7:$C$66,$C$5,'Vols additionnels'!$B$7:$B$66,E11)=1,IFERROR(INDEX('Vols additionnels'!$D$7:$D$66,MATCH(E11&amp;"|"&amp;$C$5,'Vols additionnels'!$H$7:$H$66,0)),""),SUMIFS('Vols additionnels'!$E$7:$E$66,'Vols additionnels'!$C$7:$C$66,$C$5,'Vols additionnels'!$B$7:$B$66,E11)&amp;"x"&amp;IFERROR(INDEX('Vols additionnels'!$D$7:$D$66,MATCH(E11&amp;"|"&amp;$C$5,'Vols additionnels'!$H$7:$H$66,0)),"")),SUMIFS('Vols additionnels'!$E$7:$E$66,'Vols additionnels'!$C$7:$C$66,$C$5,'Vols additionnels'!$B$7:$B$66,E11)&amp;" vols")&amp;")"))&amp;IF($Q$18="","",IF(TRIM($Q$17&amp;IF(SUMIFS('Vols additionnels'!$E$7:$E$66,'Vols additionnels'!$C$7:$C$66,$C$5,'Vols additionnels'!$B$7:$B$66,E11)=0,""," (+"&amp;IF(COUNTIFS('Vols additionnels'!$C$7:$C$66,$C$5,'Vols additionnels'!$B$7:$B$66,E11)=1,IF(SUMIFS('Vols additionnels'!$E$7:$E$66,'Vols additionnels'!$C$7:$C$66,$C$5,'Vols additionnels'!$B$7:$B$66,E11)=1,IFERROR(INDEX('Vols additionnels'!$D$7:$D$66,MATCH(E11&amp;"|"&amp;$C$5,'Vols additionnels'!$H$7:$H$66,0)),""),SUMIFS('Vols additionnels'!$E$7:$E$66,'Vols additionnels'!$C$7:$C$66,$C$5,'Vols additionnels'!$B$7:$B$66,E11)&amp;"x"&amp;IFERROR(INDEX('Vols additionnels'!$D$7:$D$66,MATCH(E11&amp;"|"&amp;$C$5,'Vols additionnels'!$H$7:$H$66,0)),"")),SUMIFS('Vols additionnels'!$E$7:$E$66,'Vols additionnels'!$C$7:$C$66,$C$5,'Vols additionnels'!$B$7:$B$66,E11)&amp;" vols")&amp;")"))="","",CHAR(10))&amp;"&lt; "&amp;$Q$18))</f>
        <v/>
      </c>
      <c r="F10" s="18" t="str">
        <f aca="false">IF(F11="","",TRIM($R$17&amp;IF(SUMIFS('Vols additionnels'!$E$7:$E$66,'Vols additionnels'!$C$7:$C$66,$C$5,'Vols additionnels'!$B$7:$B$66,F11)=0,""," (+"&amp;IF(COUNTIFS('Vols additionnels'!$C$7:$C$66,$C$5,'Vols additionnels'!$B$7:$B$66,F11)=1,IF(SUMIFS('Vols additionnels'!$E$7:$E$66,'Vols additionnels'!$C$7:$C$66,$C$5,'Vols additionnels'!$B$7:$B$66,F11)=1,IFERROR(INDEX('Vols additionnels'!$D$7:$D$66,MATCH(F11&amp;"|"&amp;$C$5,'Vols additionnels'!$H$7:$H$66,0)),""),SUMIFS('Vols additionnels'!$E$7:$E$66,'Vols additionnels'!$C$7:$C$66,$C$5,'Vols additionnels'!$B$7:$B$66,F11)&amp;"x"&amp;IFERROR(INDEX('Vols additionnels'!$D$7:$D$66,MATCH(F11&amp;"|"&amp;$C$5,'Vols additionnels'!$H$7:$H$66,0)),"")),SUMIFS('Vols additionnels'!$E$7:$E$66,'Vols additionnels'!$C$7:$C$66,$C$5,'Vols additionnels'!$B$7:$B$66,F11)&amp;" vols")&amp;")"))&amp;IF($R$18="","",IF(TRIM($R$17&amp;IF(SUMIFS('Vols additionnels'!$E$7:$E$66,'Vols additionnels'!$C$7:$C$66,$C$5,'Vols additionnels'!$B$7:$B$66,F11)=0,""," (+"&amp;IF(COUNTIFS('Vols additionnels'!$C$7:$C$66,$C$5,'Vols additionnels'!$B$7:$B$66,F11)=1,IF(SUMIFS('Vols additionnels'!$E$7:$E$66,'Vols additionnels'!$C$7:$C$66,$C$5,'Vols additionnels'!$B$7:$B$66,F11)=1,IFERROR(INDEX('Vols additionnels'!$D$7:$D$66,MATCH(F11&amp;"|"&amp;$C$5,'Vols additionnels'!$H$7:$H$66,0)),""),SUMIFS('Vols additionnels'!$E$7:$E$66,'Vols additionnels'!$C$7:$C$66,$C$5,'Vols additionnels'!$B$7:$B$66,F11)&amp;"x"&amp;IFERROR(INDEX('Vols additionnels'!$D$7:$D$66,MATCH(F11&amp;"|"&amp;$C$5,'Vols additionnels'!$H$7:$H$66,0)),"")),SUMIFS('Vols additionnels'!$E$7:$E$66,'Vols additionnels'!$C$7:$C$66,$C$5,'Vols additionnels'!$B$7:$B$66,F11)&amp;" vols")&amp;")"))="","",CHAR(10))&amp;"&lt; "&amp;$R$18))</f>
        <v>A320</v>
      </c>
      <c r="G10" s="18" t="str">
        <f aca="false">IF(G11="","",TRIM($S$17&amp;IF(SUMIFS('Vols additionnels'!$E$7:$E$66,'Vols additionnels'!$C$7:$C$66,$C$5,'Vols additionnels'!$B$7:$B$66,G11)=0,""," (+"&amp;IF(COUNTIFS('Vols additionnels'!$C$7:$C$66,$C$5,'Vols additionnels'!$B$7:$B$66,G11)=1,IF(SUMIFS('Vols additionnels'!$E$7:$E$66,'Vols additionnels'!$C$7:$C$66,$C$5,'Vols additionnels'!$B$7:$B$66,G11)=1,IFERROR(INDEX('Vols additionnels'!$D$7:$D$66,MATCH(G11&amp;"|"&amp;$C$5,'Vols additionnels'!$H$7:$H$66,0)),""),SUMIFS('Vols additionnels'!$E$7:$E$66,'Vols additionnels'!$C$7:$C$66,$C$5,'Vols additionnels'!$B$7:$B$66,G11)&amp;"x"&amp;IFERROR(INDEX('Vols additionnels'!$D$7:$D$66,MATCH(G11&amp;"|"&amp;$C$5,'Vols additionnels'!$H$7:$H$66,0)),"")),SUMIFS('Vols additionnels'!$E$7:$E$66,'Vols additionnels'!$C$7:$C$66,$C$5,'Vols additionnels'!$B$7:$B$66,G11)&amp;" vols")&amp;")"))&amp;IF($S$18="","",IF(TRIM($S$17&amp;IF(SUMIFS('Vols additionnels'!$E$7:$E$66,'Vols additionnels'!$C$7:$C$66,$C$5,'Vols additionnels'!$B$7:$B$66,G11)=0,""," (+"&amp;IF(COUNTIFS('Vols additionnels'!$C$7:$C$66,$C$5,'Vols additionnels'!$B$7:$B$66,G11)=1,IF(SUMIFS('Vols additionnels'!$E$7:$E$66,'Vols additionnels'!$C$7:$C$66,$C$5,'Vols additionnels'!$B$7:$B$66,G11)=1,IFERROR(INDEX('Vols additionnels'!$D$7:$D$66,MATCH(G11&amp;"|"&amp;$C$5,'Vols additionnels'!$H$7:$H$66,0)),""),SUMIFS('Vols additionnels'!$E$7:$E$66,'Vols additionnels'!$C$7:$C$66,$C$5,'Vols additionnels'!$B$7:$B$66,G11)&amp;"x"&amp;IFERROR(INDEX('Vols additionnels'!$D$7:$D$66,MATCH(G11&amp;"|"&amp;$C$5,'Vols additionnels'!$H$7:$H$66,0)),"")),SUMIFS('Vols additionnels'!$E$7:$E$66,'Vols additionnels'!$C$7:$C$66,$C$5,'Vols additionnels'!$B$7:$B$66,G11)&amp;" vols")&amp;")"))="","",CHAR(10))&amp;"&lt; "&amp;$S$18))</f>
        <v/>
      </c>
      <c r="H10" s="18" t="str">
        <f aca="false">IF(H11="","",TRIM($T$17&amp;IF(SUMIFS('Vols additionnels'!$E$7:$E$66,'Vols additionnels'!$C$7:$C$66,$C$5,'Vols additionnels'!$B$7:$B$66,H11)=0,""," (+"&amp;IF(COUNTIFS('Vols additionnels'!$C$7:$C$66,$C$5,'Vols additionnels'!$B$7:$B$66,H11)=1,IF(SUMIFS('Vols additionnels'!$E$7:$E$66,'Vols additionnels'!$C$7:$C$66,$C$5,'Vols additionnels'!$B$7:$B$66,H11)=1,IFERROR(INDEX('Vols additionnels'!$D$7:$D$66,MATCH(H11&amp;"|"&amp;$C$5,'Vols additionnels'!$H$7:$H$66,0)),""),SUMIFS('Vols additionnels'!$E$7:$E$66,'Vols additionnels'!$C$7:$C$66,$C$5,'Vols additionnels'!$B$7:$B$66,H11)&amp;"x"&amp;IFERROR(INDEX('Vols additionnels'!$D$7:$D$66,MATCH(H11&amp;"|"&amp;$C$5,'Vols additionnels'!$H$7:$H$66,0)),"")),SUMIFS('Vols additionnels'!$E$7:$E$66,'Vols additionnels'!$C$7:$C$66,$C$5,'Vols additionnels'!$B$7:$B$66,H11)&amp;" vols")&amp;")"))&amp;IF($T$18="","",IF(TRIM($T$17&amp;IF(SUMIFS('Vols additionnels'!$E$7:$E$66,'Vols additionnels'!$C$7:$C$66,$C$5,'Vols additionnels'!$B$7:$B$66,H11)=0,""," (+"&amp;IF(COUNTIFS('Vols additionnels'!$C$7:$C$66,$C$5,'Vols additionnels'!$B$7:$B$66,H11)=1,IF(SUMIFS('Vols additionnels'!$E$7:$E$66,'Vols additionnels'!$C$7:$C$66,$C$5,'Vols additionnels'!$B$7:$B$66,H11)=1,IFERROR(INDEX('Vols additionnels'!$D$7:$D$66,MATCH(H11&amp;"|"&amp;$C$5,'Vols additionnels'!$H$7:$H$66,0)),""),SUMIFS('Vols additionnels'!$E$7:$E$66,'Vols additionnels'!$C$7:$C$66,$C$5,'Vols additionnels'!$B$7:$B$66,H11)&amp;"x"&amp;IFERROR(INDEX('Vols additionnels'!$D$7:$D$66,MATCH(H11&amp;"|"&amp;$C$5,'Vols additionnels'!$H$7:$H$66,0)),"")),SUMIFS('Vols additionnels'!$E$7:$E$66,'Vols additionnels'!$C$7:$C$66,$C$5,'Vols additionnels'!$B$7:$B$66,H11)&amp;" vols")&amp;")"))="","",CHAR(10))&amp;"&lt; "&amp;$T$18))</f>
        <v>A320</v>
      </c>
      <c r="I10" s="18" t="str">
        <f aca="false">IF(I11="","",TRIM($U$17&amp;IF(SUMIFS('Vols additionnels'!$E$7:$E$66,'Vols additionnels'!$C$7:$C$66,$C$5,'Vols additionnels'!$B$7:$B$66,I11)=0,""," (+"&amp;IF(COUNTIFS('Vols additionnels'!$C$7:$C$66,$C$5,'Vols additionnels'!$B$7:$B$66,I11)=1,IF(SUMIFS('Vols additionnels'!$E$7:$E$66,'Vols additionnels'!$C$7:$C$66,$C$5,'Vols additionnels'!$B$7:$B$66,I11)=1,IFERROR(INDEX('Vols additionnels'!$D$7:$D$66,MATCH(I11&amp;"|"&amp;$C$5,'Vols additionnels'!$H$7:$H$66,0)),""),SUMIFS('Vols additionnels'!$E$7:$E$66,'Vols additionnels'!$C$7:$C$66,$C$5,'Vols additionnels'!$B$7:$B$66,I11)&amp;"x"&amp;IFERROR(INDEX('Vols additionnels'!$D$7:$D$66,MATCH(I11&amp;"|"&amp;$C$5,'Vols additionnels'!$H$7:$H$66,0)),"")),SUMIFS('Vols additionnels'!$E$7:$E$66,'Vols additionnels'!$C$7:$C$66,$C$5,'Vols additionnels'!$B$7:$B$66,I11)&amp;" vols")&amp;")"))&amp;IF($U$18="","",IF(TRIM($U$17&amp;IF(SUMIFS('Vols additionnels'!$E$7:$E$66,'Vols additionnels'!$C$7:$C$66,$C$5,'Vols additionnels'!$B$7:$B$66,I11)=0,""," (+"&amp;IF(COUNTIFS('Vols additionnels'!$C$7:$C$66,$C$5,'Vols additionnels'!$B$7:$B$66,I11)=1,IF(SUMIFS('Vols additionnels'!$E$7:$E$66,'Vols additionnels'!$C$7:$C$66,$C$5,'Vols additionnels'!$B$7:$B$66,I11)=1,IFERROR(INDEX('Vols additionnels'!$D$7:$D$66,MATCH(I11&amp;"|"&amp;$C$5,'Vols additionnels'!$H$7:$H$66,0)),""),SUMIFS('Vols additionnels'!$E$7:$E$66,'Vols additionnels'!$C$7:$C$66,$C$5,'Vols additionnels'!$B$7:$B$66,I11)&amp;"x"&amp;IFERROR(INDEX('Vols additionnels'!$D$7:$D$66,MATCH(I11&amp;"|"&amp;$C$5,'Vols additionnels'!$H$7:$H$66,0)),"")),SUMIFS('Vols additionnels'!$E$7:$E$66,'Vols additionnels'!$C$7:$C$66,$C$5,'Vols additionnels'!$B$7:$B$66,I11)&amp;" vols")&amp;")"))="","",CHAR(10))&amp;"&lt; "&amp;$U$18))</f>
        <v/>
      </c>
      <c r="N10" s="22" t="s">
        <v>44</v>
      </c>
      <c r="O10" s="23" t="n">
        <f aca="false">IFERROR(INDEX($G$25:$G$36,MATCH($C$5,$B$25:$B$36,0)),"")</f>
        <v>13</v>
      </c>
      <c r="W10" s="10" t="s">
        <v>45</v>
      </c>
      <c r="X10" s="11" t="n">
        <f aca="false">DATE(2027,10,1)</f>
        <v>46661</v>
      </c>
      <c r="Z10" s="12" t="s">
        <v>46</v>
      </c>
    </row>
    <row r="11" customFormat="false" ht="13.5" hidden="false" customHeight="true" outlineLevel="0" collapsed="false">
      <c r="B11" s="20" t="str">
        <f aca="false">IF(COUNT(C11:I11)=0,"","du "&amp;TEXT(MIN(C11:I11),"DD/MM")&amp;" au "&amp;TEXT(MAX(C11:I11),"DD/MM"))</f>
        <v>du 05/04 au 11/04</v>
      </c>
      <c r="C11" s="21" t="n">
        <f aca="false">IF(OR($O$6+7&lt;$O$4,$O$6+7&gt;$O$5),"",$O$6+7)</f>
        <v>46482</v>
      </c>
      <c r="D11" s="21" t="n">
        <f aca="false">IF(OR($O$6+8&lt;$O$4,$O$6+8&gt;$O$5),"",$O$6+8)</f>
        <v>46483</v>
      </c>
      <c r="E11" s="21" t="n">
        <f aca="false">IF(OR($O$6+9&lt;$O$4,$O$6+9&gt;$O$5),"",$O$6+9)</f>
        <v>46484</v>
      </c>
      <c r="F11" s="21" t="n">
        <f aca="false">IF(OR($O$6+10&lt;$O$4,$O$6+10&gt;$O$5),"",$O$6+10)</f>
        <v>46485</v>
      </c>
      <c r="G11" s="21" t="n">
        <f aca="false">IF(OR($O$6+11&lt;$O$4,$O$6+11&gt;$O$5),"",$O$6+11)</f>
        <v>46486</v>
      </c>
      <c r="H11" s="21" t="n">
        <f aca="false">IF(OR($O$6+12&lt;$O$4,$O$6+12&gt;$O$5),"",$O$6+12)</f>
        <v>46487</v>
      </c>
      <c r="I11" s="21" t="n">
        <f aca="false">IF(OR($O$6+13&lt;$O$4,$O$6+13&gt;$O$5),"",$O$6+13)</f>
        <v>46488</v>
      </c>
      <c r="N11" s="8" t="s">
        <v>47</v>
      </c>
      <c r="O11" s="16" t="n">
        <f aca="false">IFERROR(INDEX($J$25:$J$36,MATCH($C$5,$B$25:$B$36,0)),"")</f>
        <v>0</v>
      </c>
      <c r="W11" s="10" t="s">
        <v>48</v>
      </c>
      <c r="X11" s="11" t="n">
        <f aca="false">DATE(2027,11,1)</f>
        <v>46692</v>
      </c>
      <c r="Z11" s="12" t="s">
        <v>49</v>
      </c>
    </row>
    <row r="12" customFormat="false" ht="30" hidden="false" customHeight="true" outlineLevel="0" collapsed="false">
      <c r="B12" s="17" t="s">
        <v>50</v>
      </c>
      <c r="C12" s="18" t="str">
        <f aca="false">IF(C13="","",TRIM($O$17&amp;IF(SUMIFS('Vols additionnels'!$E$7:$E$66,'Vols additionnels'!$C$7:$C$66,$C$5,'Vols additionnels'!$B$7:$B$66,C13)=0,""," (+"&amp;IF(COUNTIFS('Vols additionnels'!$C$7:$C$66,$C$5,'Vols additionnels'!$B$7:$B$66,C13)=1,IF(SUMIFS('Vols additionnels'!$E$7:$E$66,'Vols additionnels'!$C$7:$C$66,$C$5,'Vols additionnels'!$B$7:$B$66,C13)=1,IFERROR(INDEX('Vols additionnels'!$D$7:$D$66,MATCH(C13&amp;"|"&amp;$C$5,'Vols additionnels'!$H$7:$H$66,0)),""),SUMIFS('Vols additionnels'!$E$7:$E$66,'Vols additionnels'!$C$7:$C$66,$C$5,'Vols additionnels'!$B$7:$B$66,C13)&amp;"x"&amp;IFERROR(INDEX('Vols additionnels'!$D$7:$D$66,MATCH(C13&amp;"|"&amp;$C$5,'Vols additionnels'!$H$7:$H$66,0)),"")),SUMIFS('Vols additionnels'!$E$7:$E$66,'Vols additionnels'!$C$7:$C$66,$C$5,'Vols additionnels'!$B$7:$B$66,C13)&amp;" vols")&amp;")"))&amp;IF($O$18="","",IF(TRIM($O$17&amp;IF(SUMIFS('Vols additionnels'!$E$7:$E$66,'Vols additionnels'!$C$7:$C$66,$C$5,'Vols additionnels'!$B$7:$B$66,C13)=0,""," (+"&amp;IF(COUNTIFS('Vols additionnels'!$C$7:$C$66,$C$5,'Vols additionnels'!$B$7:$B$66,C13)=1,IF(SUMIFS('Vols additionnels'!$E$7:$E$66,'Vols additionnels'!$C$7:$C$66,$C$5,'Vols additionnels'!$B$7:$B$66,C13)=1,IFERROR(INDEX('Vols additionnels'!$D$7:$D$66,MATCH(C13&amp;"|"&amp;$C$5,'Vols additionnels'!$H$7:$H$66,0)),""),SUMIFS('Vols additionnels'!$E$7:$E$66,'Vols additionnels'!$C$7:$C$66,$C$5,'Vols additionnels'!$B$7:$B$66,C13)&amp;"x"&amp;IFERROR(INDEX('Vols additionnels'!$D$7:$D$66,MATCH(C13&amp;"|"&amp;$C$5,'Vols additionnels'!$H$7:$H$66,0)),"")),SUMIFS('Vols additionnels'!$E$7:$E$66,'Vols additionnels'!$C$7:$C$66,$C$5,'Vols additionnels'!$B$7:$B$66,C13)&amp;" vols")&amp;")"))="","",CHAR(10))&amp;"&lt; "&amp;$O$18))</f>
        <v>A320</v>
      </c>
      <c r="D12" s="18" t="str">
        <f aca="false">IF(D13="","",TRIM($P$17&amp;IF(SUMIFS('Vols additionnels'!$E$7:$E$66,'Vols additionnels'!$C$7:$C$66,$C$5,'Vols additionnels'!$B$7:$B$66,D13)=0,""," (+"&amp;IF(COUNTIFS('Vols additionnels'!$C$7:$C$66,$C$5,'Vols additionnels'!$B$7:$B$66,D13)=1,IF(SUMIFS('Vols additionnels'!$E$7:$E$66,'Vols additionnels'!$C$7:$C$66,$C$5,'Vols additionnels'!$B$7:$B$66,D13)=1,IFERROR(INDEX('Vols additionnels'!$D$7:$D$66,MATCH(D13&amp;"|"&amp;$C$5,'Vols additionnels'!$H$7:$H$66,0)),""),SUMIFS('Vols additionnels'!$E$7:$E$66,'Vols additionnels'!$C$7:$C$66,$C$5,'Vols additionnels'!$B$7:$B$66,D13)&amp;"x"&amp;IFERROR(INDEX('Vols additionnels'!$D$7:$D$66,MATCH(D13&amp;"|"&amp;$C$5,'Vols additionnels'!$H$7:$H$66,0)),"")),SUMIFS('Vols additionnels'!$E$7:$E$66,'Vols additionnels'!$C$7:$C$66,$C$5,'Vols additionnels'!$B$7:$B$66,D13)&amp;" vols")&amp;")"))&amp;IF($P$18="","",IF(TRIM($P$17&amp;IF(SUMIFS('Vols additionnels'!$E$7:$E$66,'Vols additionnels'!$C$7:$C$66,$C$5,'Vols additionnels'!$B$7:$B$66,D13)=0,""," (+"&amp;IF(COUNTIFS('Vols additionnels'!$C$7:$C$66,$C$5,'Vols additionnels'!$B$7:$B$66,D13)=1,IF(SUMIFS('Vols additionnels'!$E$7:$E$66,'Vols additionnels'!$C$7:$C$66,$C$5,'Vols additionnels'!$B$7:$B$66,D13)=1,IFERROR(INDEX('Vols additionnels'!$D$7:$D$66,MATCH(D13&amp;"|"&amp;$C$5,'Vols additionnels'!$H$7:$H$66,0)),""),SUMIFS('Vols additionnels'!$E$7:$E$66,'Vols additionnels'!$C$7:$C$66,$C$5,'Vols additionnels'!$B$7:$B$66,D13)&amp;"x"&amp;IFERROR(INDEX('Vols additionnels'!$D$7:$D$66,MATCH(D13&amp;"|"&amp;$C$5,'Vols additionnels'!$H$7:$H$66,0)),"")),SUMIFS('Vols additionnels'!$E$7:$E$66,'Vols additionnels'!$C$7:$C$66,$C$5,'Vols additionnels'!$B$7:$B$66,D13)&amp;" vols")&amp;")"))="","",CHAR(10))&amp;"&lt; "&amp;$P$18))</f>
        <v/>
      </c>
      <c r="E12" s="18" t="str">
        <f aca="false">IF(E13="","",TRIM($Q$17&amp;IF(SUMIFS('Vols additionnels'!$E$7:$E$66,'Vols additionnels'!$C$7:$C$66,$C$5,'Vols additionnels'!$B$7:$B$66,E13)=0,""," (+"&amp;IF(COUNTIFS('Vols additionnels'!$C$7:$C$66,$C$5,'Vols additionnels'!$B$7:$B$66,E13)=1,IF(SUMIFS('Vols additionnels'!$E$7:$E$66,'Vols additionnels'!$C$7:$C$66,$C$5,'Vols additionnels'!$B$7:$B$66,E13)=1,IFERROR(INDEX('Vols additionnels'!$D$7:$D$66,MATCH(E13&amp;"|"&amp;$C$5,'Vols additionnels'!$H$7:$H$66,0)),""),SUMIFS('Vols additionnels'!$E$7:$E$66,'Vols additionnels'!$C$7:$C$66,$C$5,'Vols additionnels'!$B$7:$B$66,E13)&amp;"x"&amp;IFERROR(INDEX('Vols additionnels'!$D$7:$D$66,MATCH(E13&amp;"|"&amp;$C$5,'Vols additionnels'!$H$7:$H$66,0)),"")),SUMIFS('Vols additionnels'!$E$7:$E$66,'Vols additionnels'!$C$7:$C$66,$C$5,'Vols additionnels'!$B$7:$B$66,E13)&amp;" vols")&amp;")"))&amp;IF($Q$18="","",IF(TRIM($Q$17&amp;IF(SUMIFS('Vols additionnels'!$E$7:$E$66,'Vols additionnels'!$C$7:$C$66,$C$5,'Vols additionnels'!$B$7:$B$66,E13)=0,""," (+"&amp;IF(COUNTIFS('Vols additionnels'!$C$7:$C$66,$C$5,'Vols additionnels'!$B$7:$B$66,E13)=1,IF(SUMIFS('Vols additionnels'!$E$7:$E$66,'Vols additionnels'!$C$7:$C$66,$C$5,'Vols additionnels'!$B$7:$B$66,E13)=1,IFERROR(INDEX('Vols additionnels'!$D$7:$D$66,MATCH(E13&amp;"|"&amp;$C$5,'Vols additionnels'!$H$7:$H$66,0)),""),SUMIFS('Vols additionnels'!$E$7:$E$66,'Vols additionnels'!$C$7:$C$66,$C$5,'Vols additionnels'!$B$7:$B$66,E13)&amp;"x"&amp;IFERROR(INDEX('Vols additionnels'!$D$7:$D$66,MATCH(E13&amp;"|"&amp;$C$5,'Vols additionnels'!$H$7:$H$66,0)),"")),SUMIFS('Vols additionnels'!$E$7:$E$66,'Vols additionnels'!$C$7:$C$66,$C$5,'Vols additionnels'!$B$7:$B$66,E13)&amp;" vols")&amp;")"))="","",CHAR(10))&amp;"&lt; "&amp;$Q$18))</f>
        <v/>
      </c>
      <c r="F12" s="18" t="str">
        <f aca="false">IF(F13="","",TRIM($R$17&amp;IF(SUMIFS('Vols additionnels'!$E$7:$E$66,'Vols additionnels'!$C$7:$C$66,$C$5,'Vols additionnels'!$B$7:$B$66,F13)=0,""," (+"&amp;IF(COUNTIFS('Vols additionnels'!$C$7:$C$66,$C$5,'Vols additionnels'!$B$7:$B$66,F13)=1,IF(SUMIFS('Vols additionnels'!$E$7:$E$66,'Vols additionnels'!$C$7:$C$66,$C$5,'Vols additionnels'!$B$7:$B$66,F13)=1,IFERROR(INDEX('Vols additionnels'!$D$7:$D$66,MATCH(F13&amp;"|"&amp;$C$5,'Vols additionnels'!$H$7:$H$66,0)),""),SUMIFS('Vols additionnels'!$E$7:$E$66,'Vols additionnels'!$C$7:$C$66,$C$5,'Vols additionnels'!$B$7:$B$66,F13)&amp;"x"&amp;IFERROR(INDEX('Vols additionnels'!$D$7:$D$66,MATCH(F13&amp;"|"&amp;$C$5,'Vols additionnels'!$H$7:$H$66,0)),"")),SUMIFS('Vols additionnels'!$E$7:$E$66,'Vols additionnels'!$C$7:$C$66,$C$5,'Vols additionnels'!$B$7:$B$66,F13)&amp;" vols")&amp;")"))&amp;IF($R$18="","",IF(TRIM($R$17&amp;IF(SUMIFS('Vols additionnels'!$E$7:$E$66,'Vols additionnels'!$C$7:$C$66,$C$5,'Vols additionnels'!$B$7:$B$66,F13)=0,""," (+"&amp;IF(COUNTIFS('Vols additionnels'!$C$7:$C$66,$C$5,'Vols additionnels'!$B$7:$B$66,F13)=1,IF(SUMIFS('Vols additionnels'!$E$7:$E$66,'Vols additionnels'!$C$7:$C$66,$C$5,'Vols additionnels'!$B$7:$B$66,F13)=1,IFERROR(INDEX('Vols additionnels'!$D$7:$D$66,MATCH(F13&amp;"|"&amp;$C$5,'Vols additionnels'!$H$7:$H$66,0)),""),SUMIFS('Vols additionnels'!$E$7:$E$66,'Vols additionnels'!$C$7:$C$66,$C$5,'Vols additionnels'!$B$7:$B$66,F13)&amp;"x"&amp;IFERROR(INDEX('Vols additionnels'!$D$7:$D$66,MATCH(F13&amp;"|"&amp;$C$5,'Vols additionnels'!$H$7:$H$66,0)),"")),SUMIFS('Vols additionnels'!$E$7:$E$66,'Vols additionnels'!$C$7:$C$66,$C$5,'Vols additionnels'!$B$7:$B$66,F13)&amp;" vols")&amp;")"))="","",CHAR(10))&amp;"&lt; "&amp;$R$18))</f>
        <v>A320</v>
      </c>
      <c r="G12" s="18" t="str">
        <f aca="false">IF(G13="","",TRIM($S$17&amp;IF(SUMIFS('Vols additionnels'!$E$7:$E$66,'Vols additionnels'!$C$7:$C$66,$C$5,'Vols additionnels'!$B$7:$B$66,G13)=0,""," (+"&amp;IF(COUNTIFS('Vols additionnels'!$C$7:$C$66,$C$5,'Vols additionnels'!$B$7:$B$66,G13)=1,IF(SUMIFS('Vols additionnels'!$E$7:$E$66,'Vols additionnels'!$C$7:$C$66,$C$5,'Vols additionnels'!$B$7:$B$66,G13)=1,IFERROR(INDEX('Vols additionnels'!$D$7:$D$66,MATCH(G13&amp;"|"&amp;$C$5,'Vols additionnels'!$H$7:$H$66,0)),""),SUMIFS('Vols additionnels'!$E$7:$E$66,'Vols additionnels'!$C$7:$C$66,$C$5,'Vols additionnels'!$B$7:$B$66,G13)&amp;"x"&amp;IFERROR(INDEX('Vols additionnels'!$D$7:$D$66,MATCH(G13&amp;"|"&amp;$C$5,'Vols additionnels'!$H$7:$H$66,0)),"")),SUMIFS('Vols additionnels'!$E$7:$E$66,'Vols additionnels'!$C$7:$C$66,$C$5,'Vols additionnels'!$B$7:$B$66,G13)&amp;" vols")&amp;")"))&amp;IF($S$18="","",IF(TRIM($S$17&amp;IF(SUMIFS('Vols additionnels'!$E$7:$E$66,'Vols additionnels'!$C$7:$C$66,$C$5,'Vols additionnels'!$B$7:$B$66,G13)=0,""," (+"&amp;IF(COUNTIFS('Vols additionnels'!$C$7:$C$66,$C$5,'Vols additionnels'!$B$7:$B$66,G13)=1,IF(SUMIFS('Vols additionnels'!$E$7:$E$66,'Vols additionnels'!$C$7:$C$66,$C$5,'Vols additionnels'!$B$7:$B$66,G13)=1,IFERROR(INDEX('Vols additionnels'!$D$7:$D$66,MATCH(G13&amp;"|"&amp;$C$5,'Vols additionnels'!$H$7:$H$66,0)),""),SUMIFS('Vols additionnels'!$E$7:$E$66,'Vols additionnels'!$C$7:$C$66,$C$5,'Vols additionnels'!$B$7:$B$66,G13)&amp;"x"&amp;IFERROR(INDEX('Vols additionnels'!$D$7:$D$66,MATCH(G13&amp;"|"&amp;$C$5,'Vols additionnels'!$H$7:$H$66,0)),"")),SUMIFS('Vols additionnels'!$E$7:$E$66,'Vols additionnels'!$C$7:$C$66,$C$5,'Vols additionnels'!$B$7:$B$66,G13)&amp;" vols")&amp;")"))="","",CHAR(10))&amp;"&lt; "&amp;$S$18))</f>
        <v/>
      </c>
      <c r="H12" s="18" t="str">
        <f aca="false">IF(H13="","",TRIM($T$17&amp;IF(SUMIFS('Vols additionnels'!$E$7:$E$66,'Vols additionnels'!$C$7:$C$66,$C$5,'Vols additionnels'!$B$7:$B$66,H13)=0,""," (+"&amp;IF(COUNTIFS('Vols additionnels'!$C$7:$C$66,$C$5,'Vols additionnels'!$B$7:$B$66,H13)=1,IF(SUMIFS('Vols additionnels'!$E$7:$E$66,'Vols additionnels'!$C$7:$C$66,$C$5,'Vols additionnels'!$B$7:$B$66,H13)=1,IFERROR(INDEX('Vols additionnels'!$D$7:$D$66,MATCH(H13&amp;"|"&amp;$C$5,'Vols additionnels'!$H$7:$H$66,0)),""),SUMIFS('Vols additionnels'!$E$7:$E$66,'Vols additionnels'!$C$7:$C$66,$C$5,'Vols additionnels'!$B$7:$B$66,H13)&amp;"x"&amp;IFERROR(INDEX('Vols additionnels'!$D$7:$D$66,MATCH(H13&amp;"|"&amp;$C$5,'Vols additionnels'!$H$7:$H$66,0)),"")),SUMIFS('Vols additionnels'!$E$7:$E$66,'Vols additionnels'!$C$7:$C$66,$C$5,'Vols additionnels'!$B$7:$B$66,H13)&amp;" vols")&amp;")"))&amp;IF($T$18="","",IF(TRIM($T$17&amp;IF(SUMIFS('Vols additionnels'!$E$7:$E$66,'Vols additionnels'!$C$7:$C$66,$C$5,'Vols additionnels'!$B$7:$B$66,H13)=0,""," (+"&amp;IF(COUNTIFS('Vols additionnels'!$C$7:$C$66,$C$5,'Vols additionnels'!$B$7:$B$66,H13)=1,IF(SUMIFS('Vols additionnels'!$E$7:$E$66,'Vols additionnels'!$C$7:$C$66,$C$5,'Vols additionnels'!$B$7:$B$66,H13)=1,IFERROR(INDEX('Vols additionnels'!$D$7:$D$66,MATCH(H13&amp;"|"&amp;$C$5,'Vols additionnels'!$H$7:$H$66,0)),""),SUMIFS('Vols additionnels'!$E$7:$E$66,'Vols additionnels'!$C$7:$C$66,$C$5,'Vols additionnels'!$B$7:$B$66,H13)&amp;"x"&amp;IFERROR(INDEX('Vols additionnels'!$D$7:$D$66,MATCH(H13&amp;"|"&amp;$C$5,'Vols additionnels'!$H$7:$H$66,0)),"")),SUMIFS('Vols additionnels'!$E$7:$E$66,'Vols additionnels'!$C$7:$C$66,$C$5,'Vols additionnels'!$B$7:$B$66,H13)&amp;" vols")&amp;")"))="","",CHAR(10))&amp;"&lt; "&amp;$T$18))</f>
        <v>A320</v>
      </c>
      <c r="I12" s="18" t="str">
        <f aca="false">IF(I13="","",TRIM($U$17&amp;IF(SUMIFS('Vols additionnels'!$E$7:$E$66,'Vols additionnels'!$C$7:$C$66,$C$5,'Vols additionnels'!$B$7:$B$66,I13)=0,""," (+"&amp;IF(COUNTIFS('Vols additionnels'!$C$7:$C$66,$C$5,'Vols additionnels'!$B$7:$B$66,I13)=1,IF(SUMIFS('Vols additionnels'!$E$7:$E$66,'Vols additionnels'!$C$7:$C$66,$C$5,'Vols additionnels'!$B$7:$B$66,I13)=1,IFERROR(INDEX('Vols additionnels'!$D$7:$D$66,MATCH(I13&amp;"|"&amp;$C$5,'Vols additionnels'!$H$7:$H$66,0)),""),SUMIFS('Vols additionnels'!$E$7:$E$66,'Vols additionnels'!$C$7:$C$66,$C$5,'Vols additionnels'!$B$7:$B$66,I13)&amp;"x"&amp;IFERROR(INDEX('Vols additionnels'!$D$7:$D$66,MATCH(I13&amp;"|"&amp;$C$5,'Vols additionnels'!$H$7:$H$66,0)),"")),SUMIFS('Vols additionnels'!$E$7:$E$66,'Vols additionnels'!$C$7:$C$66,$C$5,'Vols additionnels'!$B$7:$B$66,I13)&amp;" vols")&amp;")"))&amp;IF($U$18="","",IF(TRIM($U$17&amp;IF(SUMIFS('Vols additionnels'!$E$7:$E$66,'Vols additionnels'!$C$7:$C$66,$C$5,'Vols additionnels'!$B$7:$B$66,I13)=0,""," (+"&amp;IF(COUNTIFS('Vols additionnels'!$C$7:$C$66,$C$5,'Vols additionnels'!$B$7:$B$66,I13)=1,IF(SUMIFS('Vols additionnels'!$E$7:$E$66,'Vols additionnels'!$C$7:$C$66,$C$5,'Vols additionnels'!$B$7:$B$66,I13)=1,IFERROR(INDEX('Vols additionnels'!$D$7:$D$66,MATCH(I13&amp;"|"&amp;$C$5,'Vols additionnels'!$H$7:$H$66,0)),""),SUMIFS('Vols additionnels'!$E$7:$E$66,'Vols additionnels'!$C$7:$C$66,$C$5,'Vols additionnels'!$B$7:$B$66,I13)&amp;"x"&amp;IFERROR(INDEX('Vols additionnels'!$D$7:$D$66,MATCH(I13&amp;"|"&amp;$C$5,'Vols additionnels'!$H$7:$H$66,0)),"")),SUMIFS('Vols additionnels'!$E$7:$E$66,'Vols additionnels'!$C$7:$C$66,$C$5,'Vols additionnels'!$B$7:$B$66,I13)&amp;" vols")&amp;")"))="","",CHAR(10))&amp;"&lt; "&amp;$U$18))</f>
        <v/>
      </c>
      <c r="N12" s="8" t="s">
        <v>51</v>
      </c>
      <c r="O12" s="16" t="n">
        <f aca="false">IFERROR(INDEX($K$25:$K$36,MATCH($C$5,$B$25:$B$36,0)),"")</f>
        <v>0</v>
      </c>
      <c r="W12" s="10" t="s">
        <v>52</v>
      </c>
      <c r="X12" s="11" t="n">
        <f aca="false">DATE(2027,12,1)</f>
        <v>46722</v>
      </c>
      <c r="Z12" s="12" t="s">
        <v>53</v>
      </c>
    </row>
    <row r="13" customFormat="false" ht="13.5" hidden="false" customHeight="true" outlineLevel="0" collapsed="false">
      <c r="B13" s="20" t="str">
        <f aca="false">IF(COUNT(C13:I13)=0,"","du "&amp;TEXT(MIN(C13:I13),"DD/MM")&amp;" au "&amp;TEXT(MAX(C13:I13),"DD/MM"))</f>
        <v>du 12/04 au 18/04</v>
      </c>
      <c r="C13" s="21" t="n">
        <f aca="false">IF(OR($O$6+14&lt;$O$4,$O$6+14&gt;$O$5),"",$O$6+14)</f>
        <v>46489</v>
      </c>
      <c r="D13" s="21" t="n">
        <f aca="false">IF(OR($O$6+15&lt;$O$4,$O$6+15&gt;$O$5),"",$O$6+15)</f>
        <v>46490</v>
      </c>
      <c r="E13" s="21" t="n">
        <f aca="false">IF(OR($O$6+16&lt;$O$4,$O$6+16&gt;$O$5),"",$O$6+16)</f>
        <v>46491</v>
      </c>
      <c r="F13" s="21" t="n">
        <f aca="false">IF(OR($O$6+17&lt;$O$4,$O$6+17&gt;$O$5),"",$O$6+17)</f>
        <v>46492</v>
      </c>
      <c r="G13" s="21" t="n">
        <f aca="false">IF(OR($O$6+18&lt;$O$4,$O$6+18&gt;$O$5),"",$O$6+18)</f>
        <v>46493</v>
      </c>
      <c r="H13" s="21" t="n">
        <f aca="false">IF(OR($O$6+19&lt;$O$4,$O$6+19&gt;$O$5),"",$O$6+19)</f>
        <v>46494</v>
      </c>
      <c r="I13" s="21" t="n">
        <f aca="false">IF(OR($O$6+20&lt;$O$4,$O$6+20&gt;$O$5),"",$O$6+20)</f>
        <v>46495</v>
      </c>
      <c r="N13" s="8" t="s">
        <v>54</v>
      </c>
      <c r="O13" s="16" t="n">
        <f aca="false">IFERROR(INDEX($L$25:$L$36,MATCH($C$5,$B$25:$B$36,0)),"")</f>
        <v>13</v>
      </c>
      <c r="W13" s="10" t="s">
        <v>55</v>
      </c>
      <c r="X13" s="11" t="n">
        <f aca="false">DATE(2028,1,1)</f>
        <v>46753</v>
      </c>
      <c r="Z13" s="12" t="s">
        <v>56</v>
      </c>
    </row>
    <row r="14" customFormat="false" ht="30" hidden="false" customHeight="true" outlineLevel="0" collapsed="false">
      <c r="B14" s="17" t="s">
        <v>57</v>
      </c>
      <c r="C14" s="18" t="str">
        <f aca="false">IF(C15="","",TRIM($O$17&amp;IF(SUMIFS('Vols additionnels'!$E$7:$E$66,'Vols additionnels'!$C$7:$C$66,$C$5,'Vols additionnels'!$B$7:$B$66,C15)=0,""," (+"&amp;IF(COUNTIFS('Vols additionnels'!$C$7:$C$66,$C$5,'Vols additionnels'!$B$7:$B$66,C15)=1,IF(SUMIFS('Vols additionnels'!$E$7:$E$66,'Vols additionnels'!$C$7:$C$66,$C$5,'Vols additionnels'!$B$7:$B$66,C15)=1,IFERROR(INDEX('Vols additionnels'!$D$7:$D$66,MATCH(C15&amp;"|"&amp;$C$5,'Vols additionnels'!$H$7:$H$66,0)),""),SUMIFS('Vols additionnels'!$E$7:$E$66,'Vols additionnels'!$C$7:$C$66,$C$5,'Vols additionnels'!$B$7:$B$66,C15)&amp;"x"&amp;IFERROR(INDEX('Vols additionnels'!$D$7:$D$66,MATCH(C15&amp;"|"&amp;$C$5,'Vols additionnels'!$H$7:$H$66,0)),"")),SUMIFS('Vols additionnels'!$E$7:$E$66,'Vols additionnels'!$C$7:$C$66,$C$5,'Vols additionnels'!$B$7:$B$66,C15)&amp;" vols")&amp;")"))&amp;IF($O$18="","",IF(TRIM($O$17&amp;IF(SUMIFS('Vols additionnels'!$E$7:$E$66,'Vols additionnels'!$C$7:$C$66,$C$5,'Vols additionnels'!$B$7:$B$66,C15)=0,""," (+"&amp;IF(COUNTIFS('Vols additionnels'!$C$7:$C$66,$C$5,'Vols additionnels'!$B$7:$B$66,C15)=1,IF(SUMIFS('Vols additionnels'!$E$7:$E$66,'Vols additionnels'!$C$7:$C$66,$C$5,'Vols additionnels'!$B$7:$B$66,C15)=1,IFERROR(INDEX('Vols additionnels'!$D$7:$D$66,MATCH(C15&amp;"|"&amp;$C$5,'Vols additionnels'!$H$7:$H$66,0)),""),SUMIFS('Vols additionnels'!$E$7:$E$66,'Vols additionnels'!$C$7:$C$66,$C$5,'Vols additionnels'!$B$7:$B$66,C15)&amp;"x"&amp;IFERROR(INDEX('Vols additionnels'!$D$7:$D$66,MATCH(C15&amp;"|"&amp;$C$5,'Vols additionnels'!$H$7:$H$66,0)),"")),SUMIFS('Vols additionnels'!$E$7:$E$66,'Vols additionnels'!$C$7:$C$66,$C$5,'Vols additionnels'!$B$7:$B$66,C15)&amp;" vols")&amp;")"))="","",CHAR(10))&amp;"&lt; "&amp;$O$18))</f>
        <v>A320</v>
      </c>
      <c r="D14" s="18" t="str">
        <f aca="false">IF(D15="","",TRIM($P$17&amp;IF(SUMIFS('Vols additionnels'!$E$7:$E$66,'Vols additionnels'!$C$7:$C$66,$C$5,'Vols additionnels'!$B$7:$B$66,D15)=0,""," (+"&amp;IF(COUNTIFS('Vols additionnels'!$C$7:$C$66,$C$5,'Vols additionnels'!$B$7:$B$66,D15)=1,IF(SUMIFS('Vols additionnels'!$E$7:$E$66,'Vols additionnels'!$C$7:$C$66,$C$5,'Vols additionnels'!$B$7:$B$66,D15)=1,IFERROR(INDEX('Vols additionnels'!$D$7:$D$66,MATCH(D15&amp;"|"&amp;$C$5,'Vols additionnels'!$H$7:$H$66,0)),""),SUMIFS('Vols additionnels'!$E$7:$E$66,'Vols additionnels'!$C$7:$C$66,$C$5,'Vols additionnels'!$B$7:$B$66,D15)&amp;"x"&amp;IFERROR(INDEX('Vols additionnels'!$D$7:$D$66,MATCH(D15&amp;"|"&amp;$C$5,'Vols additionnels'!$H$7:$H$66,0)),"")),SUMIFS('Vols additionnels'!$E$7:$E$66,'Vols additionnels'!$C$7:$C$66,$C$5,'Vols additionnels'!$B$7:$B$66,D15)&amp;" vols")&amp;")"))&amp;IF($P$18="","",IF(TRIM($P$17&amp;IF(SUMIFS('Vols additionnels'!$E$7:$E$66,'Vols additionnels'!$C$7:$C$66,$C$5,'Vols additionnels'!$B$7:$B$66,D15)=0,""," (+"&amp;IF(COUNTIFS('Vols additionnels'!$C$7:$C$66,$C$5,'Vols additionnels'!$B$7:$B$66,D15)=1,IF(SUMIFS('Vols additionnels'!$E$7:$E$66,'Vols additionnels'!$C$7:$C$66,$C$5,'Vols additionnels'!$B$7:$B$66,D15)=1,IFERROR(INDEX('Vols additionnels'!$D$7:$D$66,MATCH(D15&amp;"|"&amp;$C$5,'Vols additionnels'!$H$7:$H$66,0)),""),SUMIFS('Vols additionnels'!$E$7:$E$66,'Vols additionnels'!$C$7:$C$66,$C$5,'Vols additionnels'!$B$7:$B$66,D15)&amp;"x"&amp;IFERROR(INDEX('Vols additionnels'!$D$7:$D$66,MATCH(D15&amp;"|"&amp;$C$5,'Vols additionnels'!$H$7:$H$66,0)),"")),SUMIFS('Vols additionnels'!$E$7:$E$66,'Vols additionnels'!$C$7:$C$66,$C$5,'Vols additionnels'!$B$7:$B$66,D15)&amp;" vols")&amp;")"))="","",CHAR(10))&amp;"&lt; "&amp;$P$18))</f>
        <v/>
      </c>
      <c r="E14" s="18" t="str">
        <f aca="false">IF(E15="","",TRIM($Q$17&amp;IF(SUMIFS('Vols additionnels'!$E$7:$E$66,'Vols additionnels'!$C$7:$C$66,$C$5,'Vols additionnels'!$B$7:$B$66,E15)=0,""," (+"&amp;IF(COUNTIFS('Vols additionnels'!$C$7:$C$66,$C$5,'Vols additionnels'!$B$7:$B$66,E15)=1,IF(SUMIFS('Vols additionnels'!$E$7:$E$66,'Vols additionnels'!$C$7:$C$66,$C$5,'Vols additionnels'!$B$7:$B$66,E15)=1,IFERROR(INDEX('Vols additionnels'!$D$7:$D$66,MATCH(E15&amp;"|"&amp;$C$5,'Vols additionnels'!$H$7:$H$66,0)),""),SUMIFS('Vols additionnels'!$E$7:$E$66,'Vols additionnels'!$C$7:$C$66,$C$5,'Vols additionnels'!$B$7:$B$66,E15)&amp;"x"&amp;IFERROR(INDEX('Vols additionnels'!$D$7:$D$66,MATCH(E15&amp;"|"&amp;$C$5,'Vols additionnels'!$H$7:$H$66,0)),"")),SUMIFS('Vols additionnels'!$E$7:$E$66,'Vols additionnels'!$C$7:$C$66,$C$5,'Vols additionnels'!$B$7:$B$66,E15)&amp;" vols")&amp;")"))&amp;IF($Q$18="","",IF(TRIM($Q$17&amp;IF(SUMIFS('Vols additionnels'!$E$7:$E$66,'Vols additionnels'!$C$7:$C$66,$C$5,'Vols additionnels'!$B$7:$B$66,E15)=0,""," (+"&amp;IF(COUNTIFS('Vols additionnels'!$C$7:$C$66,$C$5,'Vols additionnels'!$B$7:$B$66,E15)=1,IF(SUMIFS('Vols additionnels'!$E$7:$E$66,'Vols additionnels'!$C$7:$C$66,$C$5,'Vols additionnels'!$B$7:$B$66,E15)=1,IFERROR(INDEX('Vols additionnels'!$D$7:$D$66,MATCH(E15&amp;"|"&amp;$C$5,'Vols additionnels'!$H$7:$H$66,0)),""),SUMIFS('Vols additionnels'!$E$7:$E$66,'Vols additionnels'!$C$7:$C$66,$C$5,'Vols additionnels'!$B$7:$B$66,E15)&amp;"x"&amp;IFERROR(INDEX('Vols additionnels'!$D$7:$D$66,MATCH(E15&amp;"|"&amp;$C$5,'Vols additionnels'!$H$7:$H$66,0)),"")),SUMIFS('Vols additionnels'!$E$7:$E$66,'Vols additionnels'!$C$7:$C$66,$C$5,'Vols additionnels'!$B$7:$B$66,E15)&amp;" vols")&amp;")"))="","",CHAR(10))&amp;"&lt; "&amp;$Q$18))</f>
        <v/>
      </c>
      <c r="F14" s="18" t="str">
        <f aca="false">IF(F15="","",TRIM($R$17&amp;IF(SUMIFS('Vols additionnels'!$E$7:$E$66,'Vols additionnels'!$C$7:$C$66,$C$5,'Vols additionnels'!$B$7:$B$66,F15)=0,""," (+"&amp;IF(COUNTIFS('Vols additionnels'!$C$7:$C$66,$C$5,'Vols additionnels'!$B$7:$B$66,F15)=1,IF(SUMIFS('Vols additionnels'!$E$7:$E$66,'Vols additionnels'!$C$7:$C$66,$C$5,'Vols additionnels'!$B$7:$B$66,F15)=1,IFERROR(INDEX('Vols additionnels'!$D$7:$D$66,MATCH(F15&amp;"|"&amp;$C$5,'Vols additionnels'!$H$7:$H$66,0)),""),SUMIFS('Vols additionnels'!$E$7:$E$66,'Vols additionnels'!$C$7:$C$66,$C$5,'Vols additionnels'!$B$7:$B$66,F15)&amp;"x"&amp;IFERROR(INDEX('Vols additionnels'!$D$7:$D$66,MATCH(F15&amp;"|"&amp;$C$5,'Vols additionnels'!$H$7:$H$66,0)),"")),SUMIFS('Vols additionnels'!$E$7:$E$66,'Vols additionnels'!$C$7:$C$66,$C$5,'Vols additionnels'!$B$7:$B$66,F15)&amp;" vols")&amp;")"))&amp;IF($R$18="","",IF(TRIM($R$17&amp;IF(SUMIFS('Vols additionnels'!$E$7:$E$66,'Vols additionnels'!$C$7:$C$66,$C$5,'Vols additionnels'!$B$7:$B$66,F15)=0,""," (+"&amp;IF(COUNTIFS('Vols additionnels'!$C$7:$C$66,$C$5,'Vols additionnels'!$B$7:$B$66,F15)=1,IF(SUMIFS('Vols additionnels'!$E$7:$E$66,'Vols additionnels'!$C$7:$C$66,$C$5,'Vols additionnels'!$B$7:$B$66,F15)=1,IFERROR(INDEX('Vols additionnels'!$D$7:$D$66,MATCH(F15&amp;"|"&amp;$C$5,'Vols additionnels'!$H$7:$H$66,0)),""),SUMIFS('Vols additionnels'!$E$7:$E$66,'Vols additionnels'!$C$7:$C$66,$C$5,'Vols additionnels'!$B$7:$B$66,F15)&amp;"x"&amp;IFERROR(INDEX('Vols additionnels'!$D$7:$D$66,MATCH(F15&amp;"|"&amp;$C$5,'Vols additionnels'!$H$7:$H$66,0)),"")),SUMIFS('Vols additionnels'!$E$7:$E$66,'Vols additionnels'!$C$7:$C$66,$C$5,'Vols additionnels'!$B$7:$B$66,F15)&amp;" vols")&amp;")"))="","",CHAR(10))&amp;"&lt; "&amp;$R$18))</f>
        <v>A320</v>
      </c>
      <c r="G14" s="18" t="str">
        <f aca="false">IF(G15="","",TRIM($S$17&amp;IF(SUMIFS('Vols additionnels'!$E$7:$E$66,'Vols additionnels'!$C$7:$C$66,$C$5,'Vols additionnels'!$B$7:$B$66,G15)=0,""," (+"&amp;IF(COUNTIFS('Vols additionnels'!$C$7:$C$66,$C$5,'Vols additionnels'!$B$7:$B$66,G15)=1,IF(SUMIFS('Vols additionnels'!$E$7:$E$66,'Vols additionnels'!$C$7:$C$66,$C$5,'Vols additionnels'!$B$7:$B$66,G15)=1,IFERROR(INDEX('Vols additionnels'!$D$7:$D$66,MATCH(G15&amp;"|"&amp;$C$5,'Vols additionnels'!$H$7:$H$66,0)),""),SUMIFS('Vols additionnels'!$E$7:$E$66,'Vols additionnels'!$C$7:$C$66,$C$5,'Vols additionnels'!$B$7:$B$66,G15)&amp;"x"&amp;IFERROR(INDEX('Vols additionnels'!$D$7:$D$66,MATCH(G15&amp;"|"&amp;$C$5,'Vols additionnels'!$H$7:$H$66,0)),"")),SUMIFS('Vols additionnels'!$E$7:$E$66,'Vols additionnels'!$C$7:$C$66,$C$5,'Vols additionnels'!$B$7:$B$66,G15)&amp;" vols")&amp;")"))&amp;IF($S$18="","",IF(TRIM($S$17&amp;IF(SUMIFS('Vols additionnels'!$E$7:$E$66,'Vols additionnels'!$C$7:$C$66,$C$5,'Vols additionnels'!$B$7:$B$66,G15)=0,""," (+"&amp;IF(COUNTIFS('Vols additionnels'!$C$7:$C$66,$C$5,'Vols additionnels'!$B$7:$B$66,G15)=1,IF(SUMIFS('Vols additionnels'!$E$7:$E$66,'Vols additionnels'!$C$7:$C$66,$C$5,'Vols additionnels'!$B$7:$B$66,G15)=1,IFERROR(INDEX('Vols additionnels'!$D$7:$D$66,MATCH(G15&amp;"|"&amp;$C$5,'Vols additionnels'!$H$7:$H$66,0)),""),SUMIFS('Vols additionnels'!$E$7:$E$66,'Vols additionnels'!$C$7:$C$66,$C$5,'Vols additionnels'!$B$7:$B$66,G15)&amp;"x"&amp;IFERROR(INDEX('Vols additionnels'!$D$7:$D$66,MATCH(G15&amp;"|"&amp;$C$5,'Vols additionnels'!$H$7:$H$66,0)),"")),SUMIFS('Vols additionnels'!$E$7:$E$66,'Vols additionnels'!$C$7:$C$66,$C$5,'Vols additionnels'!$B$7:$B$66,G15)&amp;" vols")&amp;")"))="","",CHAR(10))&amp;"&lt; "&amp;$S$18))</f>
        <v/>
      </c>
      <c r="H14" s="18" t="str">
        <f aca="false">IF(H15="","",TRIM($T$17&amp;IF(SUMIFS('Vols additionnels'!$E$7:$E$66,'Vols additionnels'!$C$7:$C$66,$C$5,'Vols additionnels'!$B$7:$B$66,H15)=0,""," (+"&amp;IF(COUNTIFS('Vols additionnels'!$C$7:$C$66,$C$5,'Vols additionnels'!$B$7:$B$66,H15)=1,IF(SUMIFS('Vols additionnels'!$E$7:$E$66,'Vols additionnels'!$C$7:$C$66,$C$5,'Vols additionnels'!$B$7:$B$66,H15)=1,IFERROR(INDEX('Vols additionnels'!$D$7:$D$66,MATCH(H15&amp;"|"&amp;$C$5,'Vols additionnels'!$H$7:$H$66,0)),""),SUMIFS('Vols additionnels'!$E$7:$E$66,'Vols additionnels'!$C$7:$C$66,$C$5,'Vols additionnels'!$B$7:$B$66,H15)&amp;"x"&amp;IFERROR(INDEX('Vols additionnels'!$D$7:$D$66,MATCH(H15&amp;"|"&amp;$C$5,'Vols additionnels'!$H$7:$H$66,0)),"")),SUMIFS('Vols additionnels'!$E$7:$E$66,'Vols additionnels'!$C$7:$C$66,$C$5,'Vols additionnels'!$B$7:$B$66,H15)&amp;" vols")&amp;")"))&amp;IF($T$18="","",IF(TRIM($T$17&amp;IF(SUMIFS('Vols additionnels'!$E$7:$E$66,'Vols additionnels'!$C$7:$C$66,$C$5,'Vols additionnels'!$B$7:$B$66,H15)=0,""," (+"&amp;IF(COUNTIFS('Vols additionnels'!$C$7:$C$66,$C$5,'Vols additionnels'!$B$7:$B$66,H15)=1,IF(SUMIFS('Vols additionnels'!$E$7:$E$66,'Vols additionnels'!$C$7:$C$66,$C$5,'Vols additionnels'!$B$7:$B$66,H15)=1,IFERROR(INDEX('Vols additionnels'!$D$7:$D$66,MATCH(H15&amp;"|"&amp;$C$5,'Vols additionnels'!$H$7:$H$66,0)),""),SUMIFS('Vols additionnels'!$E$7:$E$66,'Vols additionnels'!$C$7:$C$66,$C$5,'Vols additionnels'!$B$7:$B$66,H15)&amp;"x"&amp;IFERROR(INDEX('Vols additionnels'!$D$7:$D$66,MATCH(H15&amp;"|"&amp;$C$5,'Vols additionnels'!$H$7:$H$66,0)),"")),SUMIFS('Vols additionnels'!$E$7:$E$66,'Vols additionnels'!$C$7:$C$66,$C$5,'Vols additionnels'!$B$7:$B$66,H15)&amp;" vols")&amp;")"))="","",CHAR(10))&amp;"&lt; "&amp;$T$18))</f>
        <v>A320</v>
      </c>
      <c r="I14" s="18" t="str">
        <f aca="false">IF(I15="","",TRIM($U$17&amp;IF(SUMIFS('Vols additionnels'!$E$7:$E$66,'Vols additionnels'!$C$7:$C$66,$C$5,'Vols additionnels'!$B$7:$B$66,I15)=0,""," (+"&amp;IF(COUNTIFS('Vols additionnels'!$C$7:$C$66,$C$5,'Vols additionnels'!$B$7:$B$66,I15)=1,IF(SUMIFS('Vols additionnels'!$E$7:$E$66,'Vols additionnels'!$C$7:$C$66,$C$5,'Vols additionnels'!$B$7:$B$66,I15)=1,IFERROR(INDEX('Vols additionnels'!$D$7:$D$66,MATCH(I15&amp;"|"&amp;$C$5,'Vols additionnels'!$H$7:$H$66,0)),""),SUMIFS('Vols additionnels'!$E$7:$E$66,'Vols additionnels'!$C$7:$C$66,$C$5,'Vols additionnels'!$B$7:$B$66,I15)&amp;"x"&amp;IFERROR(INDEX('Vols additionnels'!$D$7:$D$66,MATCH(I15&amp;"|"&amp;$C$5,'Vols additionnels'!$H$7:$H$66,0)),"")),SUMIFS('Vols additionnels'!$E$7:$E$66,'Vols additionnels'!$C$7:$C$66,$C$5,'Vols additionnels'!$B$7:$B$66,I15)&amp;" vols")&amp;")"))&amp;IF($U$18="","",IF(TRIM($U$17&amp;IF(SUMIFS('Vols additionnels'!$E$7:$E$66,'Vols additionnels'!$C$7:$C$66,$C$5,'Vols additionnels'!$B$7:$B$66,I15)=0,""," (+"&amp;IF(COUNTIFS('Vols additionnels'!$C$7:$C$66,$C$5,'Vols additionnels'!$B$7:$B$66,I15)=1,IF(SUMIFS('Vols additionnels'!$E$7:$E$66,'Vols additionnels'!$C$7:$C$66,$C$5,'Vols additionnels'!$B$7:$B$66,I15)=1,IFERROR(INDEX('Vols additionnels'!$D$7:$D$66,MATCH(I15&amp;"|"&amp;$C$5,'Vols additionnels'!$H$7:$H$66,0)),""),SUMIFS('Vols additionnels'!$E$7:$E$66,'Vols additionnels'!$C$7:$C$66,$C$5,'Vols additionnels'!$B$7:$B$66,I15)&amp;"x"&amp;IFERROR(INDEX('Vols additionnels'!$D$7:$D$66,MATCH(I15&amp;"|"&amp;$C$5,'Vols additionnels'!$H$7:$H$66,0)),"")),SUMIFS('Vols additionnels'!$E$7:$E$66,'Vols additionnels'!$C$7:$C$66,$C$5,'Vols additionnels'!$B$7:$B$66,I15)&amp;" vols")&amp;")"))="","",CHAR(10))&amp;"&lt; "&amp;$U$18))</f>
        <v/>
      </c>
      <c r="W14" s="10" t="s">
        <v>58</v>
      </c>
      <c r="X14" s="11" t="n">
        <f aca="false">DATE(2028,2,1)</f>
        <v>46784</v>
      </c>
      <c r="Z14" s="12" t="s">
        <v>59</v>
      </c>
    </row>
    <row r="15" customFormat="false" ht="13.5" hidden="false" customHeight="true" outlineLevel="0" collapsed="false">
      <c r="B15" s="20" t="str">
        <f aca="false">IF(COUNT(C15:I15)=0,"","du "&amp;TEXT(MIN(C15:I15),"DD/MM")&amp;" au "&amp;TEXT(MAX(C15:I15),"DD/MM"))</f>
        <v>du 19/04 au 25/04</v>
      </c>
      <c r="C15" s="21" t="n">
        <f aca="false">IF(OR($O$6+21&lt;$O$4,$O$6+21&gt;$O$5),"",$O$6+21)</f>
        <v>46496</v>
      </c>
      <c r="D15" s="21" t="n">
        <f aca="false">IF(OR($O$6+22&lt;$O$4,$O$6+22&gt;$O$5),"",$O$6+22)</f>
        <v>46497</v>
      </c>
      <c r="E15" s="21" t="n">
        <f aca="false">IF(OR($O$6+23&lt;$O$4,$O$6+23&gt;$O$5),"",$O$6+23)</f>
        <v>46498</v>
      </c>
      <c r="F15" s="21" t="n">
        <f aca="false">IF(OR($O$6+24&lt;$O$4,$O$6+24&gt;$O$5),"",$O$6+24)</f>
        <v>46499</v>
      </c>
      <c r="G15" s="21" t="n">
        <f aca="false">IF(OR($O$6+25&lt;$O$4,$O$6+25&gt;$O$5),"",$O$6+25)</f>
        <v>46500</v>
      </c>
      <c r="H15" s="21" t="n">
        <f aca="false">IF(OR($O$6+26&lt;$O$4,$O$6+26&gt;$O$5),"",$O$6+26)</f>
        <v>46501</v>
      </c>
      <c r="I15" s="21" t="n">
        <f aca="false">IF(OR($O$6+27&lt;$O$4,$O$6+27&gt;$O$5),"",$O$6+27)</f>
        <v>46502</v>
      </c>
      <c r="N15" s="24" t="s">
        <v>60</v>
      </c>
      <c r="O15" s="24"/>
      <c r="P15" s="24"/>
      <c r="Q15" s="24"/>
      <c r="R15" s="24"/>
      <c r="S15" s="24"/>
      <c r="T15" s="24"/>
      <c r="U15" s="24"/>
      <c r="W15" s="10" t="s">
        <v>61</v>
      </c>
      <c r="X15" s="11" t="n">
        <f aca="false">DATE(2028,3,1)</f>
        <v>46813</v>
      </c>
      <c r="Z15" s="12" t="s">
        <v>62</v>
      </c>
    </row>
    <row r="16" customFormat="false" ht="30" hidden="false" customHeight="true" outlineLevel="0" collapsed="false">
      <c r="B16" s="17" t="s">
        <v>63</v>
      </c>
      <c r="C16" s="18" t="str">
        <f aca="false">IF(C17="","",TRIM($O$17&amp;IF(SUMIFS('Vols additionnels'!$E$7:$E$66,'Vols additionnels'!$C$7:$C$66,$C$5,'Vols additionnels'!$B$7:$B$66,C17)=0,""," (+"&amp;IF(COUNTIFS('Vols additionnels'!$C$7:$C$66,$C$5,'Vols additionnels'!$B$7:$B$66,C17)=1,IF(SUMIFS('Vols additionnels'!$E$7:$E$66,'Vols additionnels'!$C$7:$C$66,$C$5,'Vols additionnels'!$B$7:$B$66,C17)=1,IFERROR(INDEX('Vols additionnels'!$D$7:$D$66,MATCH(C17&amp;"|"&amp;$C$5,'Vols additionnels'!$H$7:$H$66,0)),""),SUMIFS('Vols additionnels'!$E$7:$E$66,'Vols additionnels'!$C$7:$C$66,$C$5,'Vols additionnels'!$B$7:$B$66,C17)&amp;"x"&amp;IFERROR(INDEX('Vols additionnels'!$D$7:$D$66,MATCH(C17&amp;"|"&amp;$C$5,'Vols additionnels'!$H$7:$H$66,0)),"")),SUMIFS('Vols additionnels'!$E$7:$E$66,'Vols additionnels'!$C$7:$C$66,$C$5,'Vols additionnels'!$B$7:$B$66,C17)&amp;" vols")&amp;")"))&amp;IF($O$18="","",IF(TRIM($O$17&amp;IF(SUMIFS('Vols additionnels'!$E$7:$E$66,'Vols additionnels'!$C$7:$C$66,$C$5,'Vols additionnels'!$B$7:$B$66,C17)=0,""," (+"&amp;IF(COUNTIFS('Vols additionnels'!$C$7:$C$66,$C$5,'Vols additionnels'!$B$7:$B$66,C17)=1,IF(SUMIFS('Vols additionnels'!$E$7:$E$66,'Vols additionnels'!$C$7:$C$66,$C$5,'Vols additionnels'!$B$7:$B$66,C17)=1,IFERROR(INDEX('Vols additionnels'!$D$7:$D$66,MATCH(C17&amp;"|"&amp;$C$5,'Vols additionnels'!$H$7:$H$66,0)),""),SUMIFS('Vols additionnels'!$E$7:$E$66,'Vols additionnels'!$C$7:$C$66,$C$5,'Vols additionnels'!$B$7:$B$66,C17)&amp;"x"&amp;IFERROR(INDEX('Vols additionnels'!$D$7:$D$66,MATCH(C17&amp;"|"&amp;$C$5,'Vols additionnels'!$H$7:$H$66,0)),"")),SUMIFS('Vols additionnels'!$E$7:$E$66,'Vols additionnels'!$C$7:$C$66,$C$5,'Vols additionnels'!$B$7:$B$66,C17)&amp;" vols")&amp;")"))="","",CHAR(10))&amp;"&lt; "&amp;$O$18))</f>
        <v>A320</v>
      </c>
      <c r="D16" s="18" t="str">
        <f aca="false">IF(D17="","",TRIM($P$17&amp;IF(SUMIFS('Vols additionnels'!$E$7:$E$66,'Vols additionnels'!$C$7:$C$66,$C$5,'Vols additionnels'!$B$7:$B$66,D17)=0,""," (+"&amp;IF(COUNTIFS('Vols additionnels'!$C$7:$C$66,$C$5,'Vols additionnels'!$B$7:$B$66,D17)=1,IF(SUMIFS('Vols additionnels'!$E$7:$E$66,'Vols additionnels'!$C$7:$C$66,$C$5,'Vols additionnels'!$B$7:$B$66,D17)=1,IFERROR(INDEX('Vols additionnels'!$D$7:$D$66,MATCH(D17&amp;"|"&amp;$C$5,'Vols additionnels'!$H$7:$H$66,0)),""),SUMIFS('Vols additionnels'!$E$7:$E$66,'Vols additionnels'!$C$7:$C$66,$C$5,'Vols additionnels'!$B$7:$B$66,D17)&amp;"x"&amp;IFERROR(INDEX('Vols additionnels'!$D$7:$D$66,MATCH(D17&amp;"|"&amp;$C$5,'Vols additionnels'!$H$7:$H$66,0)),"")),SUMIFS('Vols additionnels'!$E$7:$E$66,'Vols additionnels'!$C$7:$C$66,$C$5,'Vols additionnels'!$B$7:$B$66,D17)&amp;" vols")&amp;")"))&amp;IF($P$18="","",IF(TRIM($P$17&amp;IF(SUMIFS('Vols additionnels'!$E$7:$E$66,'Vols additionnels'!$C$7:$C$66,$C$5,'Vols additionnels'!$B$7:$B$66,D17)=0,""," (+"&amp;IF(COUNTIFS('Vols additionnels'!$C$7:$C$66,$C$5,'Vols additionnels'!$B$7:$B$66,D17)=1,IF(SUMIFS('Vols additionnels'!$E$7:$E$66,'Vols additionnels'!$C$7:$C$66,$C$5,'Vols additionnels'!$B$7:$B$66,D17)=1,IFERROR(INDEX('Vols additionnels'!$D$7:$D$66,MATCH(D17&amp;"|"&amp;$C$5,'Vols additionnels'!$H$7:$H$66,0)),""),SUMIFS('Vols additionnels'!$E$7:$E$66,'Vols additionnels'!$C$7:$C$66,$C$5,'Vols additionnels'!$B$7:$B$66,D17)&amp;"x"&amp;IFERROR(INDEX('Vols additionnels'!$D$7:$D$66,MATCH(D17&amp;"|"&amp;$C$5,'Vols additionnels'!$H$7:$H$66,0)),"")),SUMIFS('Vols additionnels'!$E$7:$E$66,'Vols additionnels'!$C$7:$C$66,$C$5,'Vols additionnels'!$B$7:$B$66,D17)&amp;" vols")&amp;")"))="","",CHAR(10))&amp;"&lt; "&amp;$P$18))</f>
        <v/>
      </c>
      <c r="E16" s="18" t="str">
        <f aca="false">IF(E17="","",TRIM($Q$17&amp;IF(SUMIFS('Vols additionnels'!$E$7:$E$66,'Vols additionnels'!$C$7:$C$66,$C$5,'Vols additionnels'!$B$7:$B$66,E17)=0,""," (+"&amp;IF(COUNTIFS('Vols additionnels'!$C$7:$C$66,$C$5,'Vols additionnels'!$B$7:$B$66,E17)=1,IF(SUMIFS('Vols additionnels'!$E$7:$E$66,'Vols additionnels'!$C$7:$C$66,$C$5,'Vols additionnels'!$B$7:$B$66,E17)=1,IFERROR(INDEX('Vols additionnels'!$D$7:$D$66,MATCH(E17&amp;"|"&amp;$C$5,'Vols additionnels'!$H$7:$H$66,0)),""),SUMIFS('Vols additionnels'!$E$7:$E$66,'Vols additionnels'!$C$7:$C$66,$C$5,'Vols additionnels'!$B$7:$B$66,E17)&amp;"x"&amp;IFERROR(INDEX('Vols additionnels'!$D$7:$D$66,MATCH(E17&amp;"|"&amp;$C$5,'Vols additionnels'!$H$7:$H$66,0)),"")),SUMIFS('Vols additionnels'!$E$7:$E$66,'Vols additionnels'!$C$7:$C$66,$C$5,'Vols additionnels'!$B$7:$B$66,E17)&amp;" vols")&amp;")"))&amp;IF($Q$18="","",IF(TRIM($Q$17&amp;IF(SUMIFS('Vols additionnels'!$E$7:$E$66,'Vols additionnels'!$C$7:$C$66,$C$5,'Vols additionnels'!$B$7:$B$66,E17)=0,""," (+"&amp;IF(COUNTIFS('Vols additionnels'!$C$7:$C$66,$C$5,'Vols additionnels'!$B$7:$B$66,E17)=1,IF(SUMIFS('Vols additionnels'!$E$7:$E$66,'Vols additionnels'!$C$7:$C$66,$C$5,'Vols additionnels'!$B$7:$B$66,E17)=1,IFERROR(INDEX('Vols additionnels'!$D$7:$D$66,MATCH(E17&amp;"|"&amp;$C$5,'Vols additionnels'!$H$7:$H$66,0)),""),SUMIFS('Vols additionnels'!$E$7:$E$66,'Vols additionnels'!$C$7:$C$66,$C$5,'Vols additionnels'!$B$7:$B$66,E17)&amp;"x"&amp;IFERROR(INDEX('Vols additionnels'!$D$7:$D$66,MATCH(E17&amp;"|"&amp;$C$5,'Vols additionnels'!$H$7:$H$66,0)),"")),SUMIFS('Vols additionnels'!$E$7:$E$66,'Vols additionnels'!$C$7:$C$66,$C$5,'Vols additionnels'!$B$7:$B$66,E17)&amp;" vols")&amp;")"))="","",CHAR(10))&amp;"&lt; "&amp;$Q$18))</f>
        <v/>
      </c>
      <c r="F16" s="18" t="str">
        <f aca="false">IF(F17="","",TRIM($R$17&amp;IF(SUMIFS('Vols additionnels'!$E$7:$E$66,'Vols additionnels'!$C$7:$C$66,$C$5,'Vols additionnels'!$B$7:$B$66,F17)=0,""," (+"&amp;IF(COUNTIFS('Vols additionnels'!$C$7:$C$66,$C$5,'Vols additionnels'!$B$7:$B$66,F17)=1,IF(SUMIFS('Vols additionnels'!$E$7:$E$66,'Vols additionnels'!$C$7:$C$66,$C$5,'Vols additionnels'!$B$7:$B$66,F17)=1,IFERROR(INDEX('Vols additionnels'!$D$7:$D$66,MATCH(F17&amp;"|"&amp;$C$5,'Vols additionnels'!$H$7:$H$66,0)),""),SUMIFS('Vols additionnels'!$E$7:$E$66,'Vols additionnels'!$C$7:$C$66,$C$5,'Vols additionnels'!$B$7:$B$66,F17)&amp;"x"&amp;IFERROR(INDEX('Vols additionnels'!$D$7:$D$66,MATCH(F17&amp;"|"&amp;$C$5,'Vols additionnels'!$H$7:$H$66,0)),"")),SUMIFS('Vols additionnels'!$E$7:$E$66,'Vols additionnels'!$C$7:$C$66,$C$5,'Vols additionnels'!$B$7:$B$66,F17)&amp;" vols")&amp;")"))&amp;IF($R$18="","",IF(TRIM($R$17&amp;IF(SUMIFS('Vols additionnels'!$E$7:$E$66,'Vols additionnels'!$C$7:$C$66,$C$5,'Vols additionnels'!$B$7:$B$66,F17)=0,""," (+"&amp;IF(COUNTIFS('Vols additionnels'!$C$7:$C$66,$C$5,'Vols additionnels'!$B$7:$B$66,F17)=1,IF(SUMIFS('Vols additionnels'!$E$7:$E$66,'Vols additionnels'!$C$7:$C$66,$C$5,'Vols additionnels'!$B$7:$B$66,F17)=1,IFERROR(INDEX('Vols additionnels'!$D$7:$D$66,MATCH(F17&amp;"|"&amp;$C$5,'Vols additionnels'!$H$7:$H$66,0)),""),SUMIFS('Vols additionnels'!$E$7:$E$66,'Vols additionnels'!$C$7:$C$66,$C$5,'Vols additionnels'!$B$7:$B$66,F17)&amp;"x"&amp;IFERROR(INDEX('Vols additionnels'!$D$7:$D$66,MATCH(F17&amp;"|"&amp;$C$5,'Vols additionnels'!$H$7:$H$66,0)),"")),SUMIFS('Vols additionnels'!$E$7:$E$66,'Vols additionnels'!$C$7:$C$66,$C$5,'Vols additionnels'!$B$7:$B$66,F17)&amp;" vols")&amp;")"))="","",CHAR(10))&amp;"&lt; "&amp;$R$18))</f>
        <v>A320</v>
      </c>
      <c r="G16" s="18" t="str">
        <f aca="false">IF(G17="","",TRIM($S$17&amp;IF(SUMIFS('Vols additionnels'!$E$7:$E$66,'Vols additionnels'!$C$7:$C$66,$C$5,'Vols additionnels'!$B$7:$B$66,G17)=0,""," (+"&amp;IF(COUNTIFS('Vols additionnels'!$C$7:$C$66,$C$5,'Vols additionnels'!$B$7:$B$66,G17)=1,IF(SUMIFS('Vols additionnels'!$E$7:$E$66,'Vols additionnels'!$C$7:$C$66,$C$5,'Vols additionnels'!$B$7:$B$66,G17)=1,IFERROR(INDEX('Vols additionnels'!$D$7:$D$66,MATCH(G17&amp;"|"&amp;$C$5,'Vols additionnels'!$H$7:$H$66,0)),""),SUMIFS('Vols additionnels'!$E$7:$E$66,'Vols additionnels'!$C$7:$C$66,$C$5,'Vols additionnels'!$B$7:$B$66,G17)&amp;"x"&amp;IFERROR(INDEX('Vols additionnels'!$D$7:$D$66,MATCH(G17&amp;"|"&amp;$C$5,'Vols additionnels'!$H$7:$H$66,0)),"")),SUMIFS('Vols additionnels'!$E$7:$E$66,'Vols additionnels'!$C$7:$C$66,$C$5,'Vols additionnels'!$B$7:$B$66,G17)&amp;" vols")&amp;")"))&amp;IF($S$18="","",IF(TRIM($S$17&amp;IF(SUMIFS('Vols additionnels'!$E$7:$E$66,'Vols additionnels'!$C$7:$C$66,$C$5,'Vols additionnels'!$B$7:$B$66,G17)=0,""," (+"&amp;IF(COUNTIFS('Vols additionnels'!$C$7:$C$66,$C$5,'Vols additionnels'!$B$7:$B$66,G17)=1,IF(SUMIFS('Vols additionnels'!$E$7:$E$66,'Vols additionnels'!$C$7:$C$66,$C$5,'Vols additionnels'!$B$7:$B$66,G17)=1,IFERROR(INDEX('Vols additionnels'!$D$7:$D$66,MATCH(G17&amp;"|"&amp;$C$5,'Vols additionnels'!$H$7:$H$66,0)),""),SUMIFS('Vols additionnels'!$E$7:$E$66,'Vols additionnels'!$C$7:$C$66,$C$5,'Vols additionnels'!$B$7:$B$66,G17)&amp;"x"&amp;IFERROR(INDEX('Vols additionnels'!$D$7:$D$66,MATCH(G17&amp;"|"&amp;$C$5,'Vols additionnels'!$H$7:$H$66,0)),"")),SUMIFS('Vols additionnels'!$E$7:$E$66,'Vols additionnels'!$C$7:$C$66,$C$5,'Vols additionnels'!$B$7:$B$66,G17)&amp;" vols")&amp;")"))="","",CHAR(10))&amp;"&lt; "&amp;$S$18))</f>
        <v/>
      </c>
      <c r="H16" s="18" t="str">
        <f aca="false">IF(H17="","",TRIM($T$17&amp;IF(SUMIFS('Vols additionnels'!$E$7:$E$66,'Vols additionnels'!$C$7:$C$66,$C$5,'Vols additionnels'!$B$7:$B$66,H17)=0,""," (+"&amp;IF(COUNTIFS('Vols additionnels'!$C$7:$C$66,$C$5,'Vols additionnels'!$B$7:$B$66,H17)=1,IF(SUMIFS('Vols additionnels'!$E$7:$E$66,'Vols additionnels'!$C$7:$C$66,$C$5,'Vols additionnels'!$B$7:$B$66,H17)=1,IFERROR(INDEX('Vols additionnels'!$D$7:$D$66,MATCH(H17&amp;"|"&amp;$C$5,'Vols additionnels'!$H$7:$H$66,0)),""),SUMIFS('Vols additionnels'!$E$7:$E$66,'Vols additionnels'!$C$7:$C$66,$C$5,'Vols additionnels'!$B$7:$B$66,H17)&amp;"x"&amp;IFERROR(INDEX('Vols additionnels'!$D$7:$D$66,MATCH(H17&amp;"|"&amp;$C$5,'Vols additionnels'!$H$7:$H$66,0)),"")),SUMIFS('Vols additionnels'!$E$7:$E$66,'Vols additionnels'!$C$7:$C$66,$C$5,'Vols additionnels'!$B$7:$B$66,H17)&amp;" vols")&amp;")"))&amp;IF($T$18="","",IF(TRIM($T$17&amp;IF(SUMIFS('Vols additionnels'!$E$7:$E$66,'Vols additionnels'!$C$7:$C$66,$C$5,'Vols additionnels'!$B$7:$B$66,H17)=0,""," (+"&amp;IF(COUNTIFS('Vols additionnels'!$C$7:$C$66,$C$5,'Vols additionnels'!$B$7:$B$66,H17)=1,IF(SUMIFS('Vols additionnels'!$E$7:$E$66,'Vols additionnels'!$C$7:$C$66,$C$5,'Vols additionnels'!$B$7:$B$66,H17)=1,IFERROR(INDEX('Vols additionnels'!$D$7:$D$66,MATCH(H17&amp;"|"&amp;$C$5,'Vols additionnels'!$H$7:$H$66,0)),""),SUMIFS('Vols additionnels'!$E$7:$E$66,'Vols additionnels'!$C$7:$C$66,$C$5,'Vols additionnels'!$B$7:$B$66,H17)&amp;"x"&amp;IFERROR(INDEX('Vols additionnels'!$D$7:$D$66,MATCH(H17&amp;"|"&amp;$C$5,'Vols additionnels'!$H$7:$H$66,0)),"")),SUMIFS('Vols additionnels'!$E$7:$E$66,'Vols additionnels'!$C$7:$C$66,$C$5,'Vols additionnels'!$B$7:$B$66,H17)&amp;" vols")&amp;")"))="","",CHAR(10))&amp;"&lt; "&amp;$T$18))</f>
        <v/>
      </c>
      <c r="I16" s="18" t="str">
        <f aca="false">IF(I17="","",TRIM($U$17&amp;IF(SUMIFS('Vols additionnels'!$E$7:$E$66,'Vols additionnels'!$C$7:$C$66,$C$5,'Vols additionnels'!$B$7:$B$66,I17)=0,""," (+"&amp;IF(COUNTIFS('Vols additionnels'!$C$7:$C$66,$C$5,'Vols additionnels'!$B$7:$B$66,I17)=1,IF(SUMIFS('Vols additionnels'!$E$7:$E$66,'Vols additionnels'!$C$7:$C$66,$C$5,'Vols additionnels'!$B$7:$B$66,I17)=1,IFERROR(INDEX('Vols additionnels'!$D$7:$D$66,MATCH(I17&amp;"|"&amp;$C$5,'Vols additionnels'!$H$7:$H$66,0)),""),SUMIFS('Vols additionnels'!$E$7:$E$66,'Vols additionnels'!$C$7:$C$66,$C$5,'Vols additionnels'!$B$7:$B$66,I17)&amp;"x"&amp;IFERROR(INDEX('Vols additionnels'!$D$7:$D$66,MATCH(I17&amp;"|"&amp;$C$5,'Vols additionnels'!$H$7:$H$66,0)),"")),SUMIFS('Vols additionnels'!$E$7:$E$66,'Vols additionnels'!$C$7:$C$66,$C$5,'Vols additionnels'!$B$7:$B$66,I17)&amp;" vols")&amp;")"))&amp;IF($U$18="","",IF(TRIM($U$17&amp;IF(SUMIFS('Vols additionnels'!$E$7:$E$66,'Vols additionnels'!$C$7:$C$66,$C$5,'Vols additionnels'!$B$7:$B$66,I17)=0,""," (+"&amp;IF(COUNTIFS('Vols additionnels'!$C$7:$C$66,$C$5,'Vols additionnels'!$B$7:$B$66,I17)=1,IF(SUMIFS('Vols additionnels'!$E$7:$E$66,'Vols additionnels'!$C$7:$C$66,$C$5,'Vols additionnels'!$B$7:$B$66,I17)=1,IFERROR(INDEX('Vols additionnels'!$D$7:$D$66,MATCH(I17&amp;"|"&amp;$C$5,'Vols additionnels'!$H$7:$H$66,0)),""),SUMIFS('Vols additionnels'!$E$7:$E$66,'Vols additionnels'!$C$7:$C$66,$C$5,'Vols additionnels'!$B$7:$B$66,I17)&amp;"x"&amp;IFERROR(INDEX('Vols additionnels'!$D$7:$D$66,MATCH(I17&amp;"|"&amp;$C$5,'Vols additionnels'!$H$7:$H$66,0)),"")),SUMIFS('Vols additionnels'!$E$7:$E$66,'Vols additionnels'!$C$7:$C$66,$C$5,'Vols additionnels'!$B$7:$B$66,I17)&amp;" vols")&amp;")"))="","",CHAR(10))&amp;"&lt; "&amp;$U$18))</f>
        <v/>
      </c>
      <c r="N16" s="25" t="s">
        <v>64</v>
      </c>
      <c r="O16" s="25" t="s">
        <v>65</v>
      </c>
      <c r="P16" s="25" t="s">
        <v>66</v>
      </c>
      <c r="Q16" s="25" t="s">
        <v>67</v>
      </c>
      <c r="R16" s="25" t="s">
        <v>68</v>
      </c>
      <c r="S16" s="25" t="s">
        <v>69</v>
      </c>
      <c r="T16" s="25" t="s">
        <v>70</v>
      </c>
      <c r="U16" s="25" t="s">
        <v>71</v>
      </c>
    </row>
    <row r="17" customFormat="false" ht="13.5" hidden="false" customHeight="true" outlineLevel="0" collapsed="false">
      <c r="B17" s="20" t="str">
        <f aca="false">IF(COUNT(C17:I17)=0,"","du "&amp;TEXT(MIN(C17:I17),"DD/MM")&amp;" au "&amp;TEXT(MAX(C17:I17),"DD/MM"))</f>
        <v>du 26/04 au 30/04</v>
      </c>
      <c r="C17" s="21" t="n">
        <f aca="false">IF(OR($O$6+28&lt;$O$4,$O$6+28&gt;$O$5),"",$O$6+28)</f>
        <v>46503</v>
      </c>
      <c r="D17" s="21" t="n">
        <f aca="false">IF(OR($O$6+29&lt;$O$4,$O$6+29&gt;$O$5),"",$O$6+29)</f>
        <v>46504</v>
      </c>
      <c r="E17" s="21" t="n">
        <f aca="false">IF(OR($O$6+30&lt;$O$4,$O$6+30&gt;$O$5),"",$O$6+30)</f>
        <v>46505</v>
      </c>
      <c r="F17" s="21" t="n">
        <f aca="false">IF(OR($O$6+31&lt;$O$4,$O$6+31&gt;$O$5),"",$O$6+31)</f>
        <v>46506</v>
      </c>
      <c r="G17" s="21" t="n">
        <f aca="false">IF(OR($O$6+32&lt;$O$4,$O$6+32&gt;$O$5),"",$O$6+32)</f>
        <v>46507</v>
      </c>
      <c r="H17" s="21" t="str">
        <f aca="false">IF(OR($O$6+33&lt;$O$4,$O$6+33&gt;$O$5),"",$O$6+33)</f>
        <v/>
      </c>
      <c r="I17" s="21" t="str">
        <f aca="false">IF(OR($O$6+34&lt;$O$4,$O$6+34&gt;$O$5),"",$O$6+34)</f>
        <v/>
      </c>
      <c r="N17" s="26" t="s">
        <v>72</v>
      </c>
      <c r="O17" s="19" t="str">
        <f aca="false">SUBSTITUTE(TRIM(IF(O$22=0,"",IF(O$22=1,"77W",O$22&amp;"x77W"))&amp;" "&amp;IF(O$23=0,"",IF(O$23=1,"787",O$23&amp;"x787"))&amp;" "&amp;IF(O$24=0,"",IF(O$24=1,"A320",O$24&amp;"xA320")))," ","/")</f>
        <v>A320</v>
      </c>
      <c r="P17" s="19" t="str">
        <f aca="false">SUBSTITUTE(TRIM(IF(P$22=0,"",IF(P$22=1,"77W",P$22&amp;"x77W"))&amp;" "&amp;IF(P$23=0,"",IF(P$23=1,"787",P$23&amp;"x787"))&amp;" "&amp;IF(P$24=0,"",IF(P$24=1,"A320",P$24&amp;"xA320")))," ","/")</f>
        <v/>
      </c>
      <c r="Q17" s="19" t="str">
        <f aca="false">SUBSTITUTE(TRIM(IF(Q$22=0,"",IF(Q$22=1,"77W",Q$22&amp;"x77W"))&amp;" "&amp;IF(Q$23=0,"",IF(Q$23=1,"787",Q$23&amp;"x787"))&amp;" "&amp;IF(Q$24=0,"",IF(Q$24=1,"A320",Q$24&amp;"xA320")))," ","/")</f>
        <v/>
      </c>
      <c r="R17" s="19" t="str">
        <f aca="false">SUBSTITUTE(TRIM(IF(R$22=0,"",IF(R$22=1,"77W",R$22&amp;"x77W"))&amp;" "&amp;IF(R$23=0,"",IF(R$23=1,"787",R$23&amp;"x787"))&amp;" "&amp;IF(R$24=0,"",IF(R$24=1,"A320",R$24&amp;"xA320")))," ","/")</f>
        <v>A320</v>
      </c>
      <c r="S17" s="19" t="str">
        <f aca="false">SUBSTITUTE(TRIM(IF(S$22=0,"",IF(S$22=1,"77W",S$22&amp;"x77W"))&amp;" "&amp;IF(S$23=0,"",IF(S$23=1,"787",S$23&amp;"x787"))&amp;" "&amp;IF(S$24=0,"",IF(S$24=1,"A320",S$24&amp;"xA320")))," ","/")</f>
        <v/>
      </c>
      <c r="T17" s="19" t="str">
        <f aca="false">SUBSTITUTE(TRIM(IF(T$22=0,"",IF(T$22=1,"77W",T$22&amp;"x77W"))&amp;" "&amp;IF(T$23=0,"",IF(T$23=1,"787",T$23&amp;"x787"))&amp;" "&amp;IF(T$24=0,"",IF(T$24=1,"A320",T$24&amp;"xA320")))," ","/")</f>
        <v>A320</v>
      </c>
      <c r="U17" s="19" t="str">
        <f aca="false">SUBSTITUTE(TRIM(IF(U$22=0,"",IF(U$22=1,"77W",U$22&amp;"x77W"))&amp;" "&amp;IF(U$23=0,"",IF(U$23=1,"787",U$23&amp;"x787"))&amp;" "&amp;IF(U$24=0,"",IF(U$24=1,"A320",U$24&amp;"xA320")))," ","/")</f>
        <v/>
      </c>
    </row>
    <row r="18" customFormat="false" ht="30" hidden="false" customHeight="true" outlineLevel="0" collapsed="false">
      <c r="B18" s="17" t="s">
        <v>73</v>
      </c>
      <c r="C18" s="18" t="str">
        <f aca="false">IF(C19="","",TRIM($O$17&amp;IF(SUMIFS('Vols additionnels'!$E$7:$E$66,'Vols additionnels'!$C$7:$C$66,$C$5,'Vols additionnels'!$B$7:$B$66,C19)=0,""," (+"&amp;IF(COUNTIFS('Vols additionnels'!$C$7:$C$66,$C$5,'Vols additionnels'!$B$7:$B$66,C19)=1,IF(SUMIFS('Vols additionnels'!$E$7:$E$66,'Vols additionnels'!$C$7:$C$66,$C$5,'Vols additionnels'!$B$7:$B$66,C19)=1,IFERROR(INDEX('Vols additionnels'!$D$7:$D$66,MATCH(C19&amp;"|"&amp;$C$5,'Vols additionnels'!$H$7:$H$66,0)),""),SUMIFS('Vols additionnels'!$E$7:$E$66,'Vols additionnels'!$C$7:$C$66,$C$5,'Vols additionnels'!$B$7:$B$66,C19)&amp;"x"&amp;IFERROR(INDEX('Vols additionnels'!$D$7:$D$66,MATCH(C19&amp;"|"&amp;$C$5,'Vols additionnels'!$H$7:$H$66,0)),"")),SUMIFS('Vols additionnels'!$E$7:$E$66,'Vols additionnels'!$C$7:$C$66,$C$5,'Vols additionnels'!$B$7:$B$66,C19)&amp;" vols")&amp;")"))&amp;IF($O$18="","",IF(TRIM($O$17&amp;IF(SUMIFS('Vols additionnels'!$E$7:$E$66,'Vols additionnels'!$C$7:$C$66,$C$5,'Vols additionnels'!$B$7:$B$66,C19)=0,""," (+"&amp;IF(COUNTIFS('Vols additionnels'!$C$7:$C$66,$C$5,'Vols additionnels'!$B$7:$B$66,C19)=1,IF(SUMIFS('Vols additionnels'!$E$7:$E$66,'Vols additionnels'!$C$7:$C$66,$C$5,'Vols additionnels'!$B$7:$B$66,C19)=1,IFERROR(INDEX('Vols additionnels'!$D$7:$D$66,MATCH(C19&amp;"|"&amp;$C$5,'Vols additionnels'!$H$7:$H$66,0)),""),SUMIFS('Vols additionnels'!$E$7:$E$66,'Vols additionnels'!$C$7:$C$66,$C$5,'Vols additionnels'!$B$7:$B$66,C19)&amp;"x"&amp;IFERROR(INDEX('Vols additionnels'!$D$7:$D$66,MATCH(C19&amp;"|"&amp;$C$5,'Vols additionnels'!$H$7:$H$66,0)),"")),SUMIFS('Vols additionnels'!$E$7:$E$66,'Vols additionnels'!$C$7:$C$66,$C$5,'Vols additionnels'!$B$7:$B$66,C19)&amp;" vols")&amp;")"))="","",CHAR(10))&amp;"&lt; "&amp;$O$18))</f>
        <v/>
      </c>
      <c r="D18" s="18" t="str">
        <f aca="false">IF(D19="","",TRIM($P$17&amp;IF(SUMIFS('Vols additionnels'!$E$7:$E$66,'Vols additionnels'!$C$7:$C$66,$C$5,'Vols additionnels'!$B$7:$B$66,D19)=0,""," (+"&amp;IF(COUNTIFS('Vols additionnels'!$C$7:$C$66,$C$5,'Vols additionnels'!$B$7:$B$66,D19)=1,IF(SUMIFS('Vols additionnels'!$E$7:$E$66,'Vols additionnels'!$C$7:$C$66,$C$5,'Vols additionnels'!$B$7:$B$66,D19)=1,IFERROR(INDEX('Vols additionnels'!$D$7:$D$66,MATCH(D19&amp;"|"&amp;$C$5,'Vols additionnels'!$H$7:$H$66,0)),""),SUMIFS('Vols additionnels'!$E$7:$E$66,'Vols additionnels'!$C$7:$C$66,$C$5,'Vols additionnels'!$B$7:$B$66,D19)&amp;"x"&amp;IFERROR(INDEX('Vols additionnels'!$D$7:$D$66,MATCH(D19&amp;"|"&amp;$C$5,'Vols additionnels'!$H$7:$H$66,0)),"")),SUMIFS('Vols additionnels'!$E$7:$E$66,'Vols additionnels'!$C$7:$C$66,$C$5,'Vols additionnels'!$B$7:$B$66,D19)&amp;" vols")&amp;")"))&amp;IF($P$18="","",IF(TRIM($P$17&amp;IF(SUMIFS('Vols additionnels'!$E$7:$E$66,'Vols additionnels'!$C$7:$C$66,$C$5,'Vols additionnels'!$B$7:$B$66,D19)=0,""," (+"&amp;IF(COUNTIFS('Vols additionnels'!$C$7:$C$66,$C$5,'Vols additionnels'!$B$7:$B$66,D19)=1,IF(SUMIFS('Vols additionnels'!$E$7:$E$66,'Vols additionnels'!$C$7:$C$66,$C$5,'Vols additionnels'!$B$7:$B$66,D19)=1,IFERROR(INDEX('Vols additionnels'!$D$7:$D$66,MATCH(D19&amp;"|"&amp;$C$5,'Vols additionnels'!$H$7:$H$66,0)),""),SUMIFS('Vols additionnels'!$E$7:$E$66,'Vols additionnels'!$C$7:$C$66,$C$5,'Vols additionnels'!$B$7:$B$66,D19)&amp;"x"&amp;IFERROR(INDEX('Vols additionnels'!$D$7:$D$66,MATCH(D19&amp;"|"&amp;$C$5,'Vols additionnels'!$H$7:$H$66,0)),"")),SUMIFS('Vols additionnels'!$E$7:$E$66,'Vols additionnels'!$C$7:$C$66,$C$5,'Vols additionnels'!$B$7:$B$66,D19)&amp;" vols")&amp;")"))="","",CHAR(10))&amp;"&lt; "&amp;$P$18))</f>
        <v/>
      </c>
      <c r="E18" s="18" t="str">
        <f aca="false">IF(E19="","",TRIM($Q$17&amp;IF(SUMIFS('Vols additionnels'!$E$7:$E$66,'Vols additionnels'!$C$7:$C$66,$C$5,'Vols additionnels'!$B$7:$B$66,E19)=0,""," (+"&amp;IF(COUNTIFS('Vols additionnels'!$C$7:$C$66,$C$5,'Vols additionnels'!$B$7:$B$66,E19)=1,IF(SUMIFS('Vols additionnels'!$E$7:$E$66,'Vols additionnels'!$C$7:$C$66,$C$5,'Vols additionnels'!$B$7:$B$66,E19)=1,IFERROR(INDEX('Vols additionnels'!$D$7:$D$66,MATCH(E19&amp;"|"&amp;$C$5,'Vols additionnels'!$H$7:$H$66,0)),""),SUMIFS('Vols additionnels'!$E$7:$E$66,'Vols additionnels'!$C$7:$C$66,$C$5,'Vols additionnels'!$B$7:$B$66,E19)&amp;"x"&amp;IFERROR(INDEX('Vols additionnels'!$D$7:$D$66,MATCH(E19&amp;"|"&amp;$C$5,'Vols additionnels'!$H$7:$H$66,0)),"")),SUMIFS('Vols additionnels'!$E$7:$E$66,'Vols additionnels'!$C$7:$C$66,$C$5,'Vols additionnels'!$B$7:$B$66,E19)&amp;" vols")&amp;")"))&amp;IF($Q$18="","",IF(TRIM($Q$17&amp;IF(SUMIFS('Vols additionnels'!$E$7:$E$66,'Vols additionnels'!$C$7:$C$66,$C$5,'Vols additionnels'!$B$7:$B$66,E19)=0,""," (+"&amp;IF(COUNTIFS('Vols additionnels'!$C$7:$C$66,$C$5,'Vols additionnels'!$B$7:$B$66,E19)=1,IF(SUMIFS('Vols additionnels'!$E$7:$E$66,'Vols additionnels'!$C$7:$C$66,$C$5,'Vols additionnels'!$B$7:$B$66,E19)=1,IFERROR(INDEX('Vols additionnels'!$D$7:$D$66,MATCH(E19&amp;"|"&amp;$C$5,'Vols additionnels'!$H$7:$H$66,0)),""),SUMIFS('Vols additionnels'!$E$7:$E$66,'Vols additionnels'!$C$7:$C$66,$C$5,'Vols additionnels'!$B$7:$B$66,E19)&amp;"x"&amp;IFERROR(INDEX('Vols additionnels'!$D$7:$D$66,MATCH(E19&amp;"|"&amp;$C$5,'Vols additionnels'!$H$7:$H$66,0)),"")),SUMIFS('Vols additionnels'!$E$7:$E$66,'Vols additionnels'!$C$7:$C$66,$C$5,'Vols additionnels'!$B$7:$B$66,E19)&amp;" vols")&amp;")"))="","",CHAR(10))&amp;"&lt; "&amp;$Q$18))</f>
        <v/>
      </c>
      <c r="F18" s="18" t="str">
        <f aca="false">IF(F19="","",TRIM($R$17&amp;IF(SUMIFS('Vols additionnels'!$E$7:$E$66,'Vols additionnels'!$C$7:$C$66,$C$5,'Vols additionnels'!$B$7:$B$66,F19)=0,""," (+"&amp;IF(COUNTIFS('Vols additionnels'!$C$7:$C$66,$C$5,'Vols additionnels'!$B$7:$B$66,F19)=1,IF(SUMIFS('Vols additionnels'!$E$7:$E$66,'Vols additionnels'!$C$7:$C$66,$C$5,'Vols additionnels'!$B$7:$B$66,F19)=1,IFERROR(INDEX('Vols additionnels'!$D$7:$D$66,MATCH(F19&amp;"|"&amp;$C$5,'Vols additionnels'!$H$7:$H$66,0)),""),SUMIFS('Vols additionnels'!$E$7:$E$66,'Vols additionnels'!$C$7:$C$66,$C$5,'Vols additionnels'!$B$7:$B$66,F19)&amp;"x"&amp;IFERROR(INDEX('Vols additionnels'!$D$7:$D$66,MATCH(F19&amp;"|"&amp;$C$5,'Vols additionnels'!$H$7:$H$66,0)),"")),SUMIFS('Vols additionnels'!$E$7:$E$66,'Vols additionnels'!$C$7:$C$66,$C$5,'Vols additionnels'!$B$7:$B$66,F19)&amp;" vols")&amp;")"))&amp;IF($R$18="","",IF(TRIM($R$17&amp;IF(SUMIFS('Vols additionnels'!$E$7:$E$66,'Vols additionnels'!$C$7:$C$66,$C$5,'Vols additionnels'!$B$7:$B$66,F19)=0,""," (+"&amp;IF(COUNTIFS('Vols additionnels'!$C$7:$C$66,$C$5,'Vols additionnels'!$B$7:$B$66,F19)=1,IF(SUMIFS('Vols additionnels'!$E$7:$E$66,'Vols additionnels'!$C$7:$C$66,$C$5,'Vols additionnels'!$B$7:$B$66,F19)=1,IFERROR(INDEX('Vols additionnels'!$D$7:$D$66,MATCH(F19&amp;"|"&amp;$C$5,'Vols additionnels'!$H$7:$H$66,0)),""),SUMIFS('Vols additionnels'!$E$7:$E$66,'Vols additionnels'!$C$7:$C$66,$C$5,'Vols additionnels'!$B$7:$B$66,F19)&amp;"x"&amp;IFERROR(INDEX('Vols additionnels'!$D$7:$D$66,MATCH(F19&amp;"|"&amp;$C$5,'Vols additionnels'!$H$7:$H$66,0)),"")),SUMIFS('Vols additionnels'!$E$7:$E$66,'Vols additionnels'!$C$7:$C$66,$C$5,'Vols additionnels'!$B$7:$B$66,F19)&amp;" vols")&amp;")"))="","",CHAR(10))&amp;"&lt; "&amp;$R$18))</f>
        <v/>
      </c>
      <c r="G18" s="18" t="str">
        <f aca="false">IF(G19="","",TRIM($S$17&amp;IF(SUMIFS('Vols additionnels'!$E$7:$E$66,'Vols additionnels'!$C$7:$C$66,$C$5,'Vols additionnels'!$B$7:$B$66,G19)=0,""," (+"&amp;IF(COUNTIFS('Vols additionnels'!$C$7:$C$66,$C$5,'Vols additionnels'!$B$7:$B$66,G19)=1,IF(SUMIFS('Vols additionnels'!$E$7:$E$66,'Vols additionnels'!$C$7:$C$66,$C$5,'Vols additionnels'!$B$7:$B$66,G19)=1,IFERROR(INDEX('Vols additionnels'!$D$7:$D$66,MATCH(G19&amp;"|"&amp;$C$5,'Vols additionnels'!$H$7:$H$66,0)),""),SUMIFS('Vols additionnels'!$E$7:$E$66,'Vols additionnels'!$C$7:$C$66,$C$5,'Vols additionnels'!$B$7:$B$66,G19)&amp;"x"&amp;IFERROR(INDEX('Vols additionnels'!$D$7:$D$66,MATCH(G19&amp;"|"&amp;$C$5,'Vols additionnels'!$H$7:$H$66,0)),"")),SUMIFS('Vols additionnels'!$E$7:$E$66,'Vols additionnels'!$C$7:$C$66,$C$5,'Vols additionnels'!$B$7:$B$66,G19)&amp;" vols")&amp;")"))&amp;IF($S$18="","",IF(TRIM($S$17&amp;IF(SUMIFS('Vols additionnels'!$E$7:$E$66,'Vols additionnels'!$C$7:$C$66,$C$5,'Vols additionnels'!$B$7:$B$66,G19)=0,""," (+"&amp;IF(COUNTIFS('Vols additionnels'!$C$7:$C$66,$C$5,'Vols additionnels'!$B$7:$B$66,G19)=1,IF(SUMIFS('Vols additionnels'!$E$7:$E$66,'Vols additionnels'!$C$7:$C$66,$C$5,'Vols additionnels'!$B$7:$B$66,G19)=1,IFERROR(INDEX('Vols additionnels'!$D$7:$D$66,MATCH(G19&amp;"|"&amp;$C$5,'Vols additionnels'!$H$7:$H$66,0)),""),SUMIFS('Vols additionnels'!$E$7:$E$66,'Vols additionnels'!$C$7:$C$66,$C$5,'Vols additionnels'!$B$7:$B$66,G19)&amp;"x"&amp;IFERROR(INDEX('Vols additionnels'!$D$7:$D$66,MATCH(G19&amp;"|"&amp;$C$5,'Vols additionnels'!$H$7:$H$66,0)),"")),SUMIFS('Vols additionnels'!$E$7:$E$66,'Vols additionnels'!$C$7:$C$66,$C$5,'Vols additionnels'!$B$7:$B$66,G19)&amp;" vols")&amp;")"))="","",CHAR(10))&amp;"&lt; "&amp;$S$18))</f>
        <v/>
      </c>
      <c r="H18" s="18" t="str">
        <f aca="false">IF(H19="","",TRIM($T$17&amp;IF(SUMIFS('Vols additionnels'!$E$7:$E$66,'Vols additionnels'!$C$7:$C$66,$C$5,'Vols additionnels'!$B$7:$B$66,H19)=0,""," (+"&amp;IF(COUNTIFS('Vols additionnels'!$C$7:$C$66,$C$5,'Vols additionnels'!$B$7:$B$66,H19)=1,IF(SUMIFS('Vols additionnels'!$E$7:$E$66,'Vols additionnels'!$C$7:$C$66,$C$5,'Vols additionnels'!$B$7:$B$66,H19)=1,IFERROR(INDEX('Vols additionnels'!$D$7:$D$66,MATCH(H19&amp;"|"&amp;$C$5,'Vols additionnels'!$H$7:$H$66,0)),""),SUMIFS('Vols additionnels'!$E$7:$E$66,'Vols additionnels'!$C$7:$C$66,$C$5,'Vols additionnels'!$B$7:$B$66,H19)&amp;"x"&amp;IFERROR(INDEX('Vols additionnels'!$D$7:$D$66,MATCH(H19&amp;"|"&amp;$C$5,'Vols additionnels'!$H$7:$H$66,0)),"")),SUMIFS('Vols additionnels'!$E$7:$E$66,'Vols additionnels'!$C$7:$C$66,$C$5,'Vols additionnels'!$B$7:$B$66,H19)&amp;" vols")&amp;")"))&amp;IF($T$18="","",IF(TRIM($T$17&amp;IF(SUMIFS('Vols additionnels'!$E$7:$E$66,'Vols additionnels'!$C$7:$C$66,$C$5,'Vols additionnels'!$B$7:$B$66,H19)=0,""," (+"&amp;IF(COUNTIFS('Vols additionnels'!$C$7:$C$66,$C$5,'Vols additionnels'!$B$7:$B$66,H19)=1,IF(SUMIFS('Vols additionnels'!$E$7:$E$66,'Vols additionnels'!$C$7:$C$66,$C$5,'Vols additionnels'!$B$7:$B$66,H19)=1,IFERROR(INDEX('Vols additionnels'!$D$7:$D$66,MATCH(H19&amp;"|"&amp;$C$5,'Vols additionnels'!$H$7:$H$66,0)),""),SUMIFS('Vols additionnels'!$E$7:$E$66,'Vols additionnels'!$C$7:$C$66,$C$5,'Vols additionnels'!$B$7:$B$66,H19)&amp;"x"&amp;IFERROR(INDEX('Vols additionnels'!$D$7:$D$66,MATCH(H19&amp;"|"&amp;$C$5,'Vols additionnels'!$H$7:$H$66,0)),"")),SUMIFS('Vols additionnels'!$E$7:$E$66,'Vols additionnels'!$C$7:$C$66,$C$5,'Vols additionnels'!$B$7:$B$66,H19)&amp;" vols")&amp;")"))="","",CHAR(10))&amp;"&lt; "&amp;$T$18))</f>
        <v/>
      </c>
      <c r="I18" s="18" t="str">
        <f aca="false">IF(I19="","",TRIM($U$17&amp;IF(SUMIFS('Vols additionnels'!$E$7:$E$66,'Vols additionnels'!$C$7:$C$66,$C$5,'Vols additionnels'!$B$7:$B$66,I19)=0,""," (+"&amp;IF(COUNTIFS('Vols additionnels'!$C$7:$C$66,$C$5,'Vols additionnels'!$B$7:$B$66,I19)=1,IF(SUMIFS('Vols additionnels'!$E$7:$E$66,'Vols additionnels'!$C$7:$C$66,$C$5,'Vols additionnels'!$B$7:$B$66,I19)=1,IFERROR(INDEX('Vols additionnels'!$D$7:$D$66,MATCH(I19&amp;"|"&amp;$C$5,'Vols additionnels'!$H$7:$H$66,0)),""),SUMIFS('Vols additionnels'!$E$7:$E$66,'Vols additionnels'!$C$7:$C$66,$C$5,'Vols additionnels'!$B$7:$B$66,I19)&amp;"x"&amp;IFERROR(INDEX('Vols additionnels'!$D$7:$D$66,MATCH(I19&amp;"|"&amp;$C$5,'Vols additionnels'!$H$7:$H$66,0)),"")),SUMIFS('Vols additionnels'!$E$7:$E$66,'Vols additionnels'!$C$7:$C$66,$C$5,'Vols additionnels'!$B$7:$B$66,I19)&amp;" vols")&amp;")"))&amp;IF($U$18="","",IF(TRIM($U$17&amp;IF(SUMIFS('Vols additionnels'!$E$7:$E$66,'Vols additionnels'!$C$7:$C$66,$C$5,'Vols additionnels'!$B$7:$B$66,I19)=0,""," (+"&amp;IF(COUNTIFS('Vols additionnels'!$C$7:$C$66,$C$5,'Vols additionnels'!$B$7:$B$66,I19)=1,IF(SUMIFS('Vols additionnels'!$E$7:$E$66,'Vols additionnels'!$C$7:$C$66,$C$5,'Vols additionnels'!$B$7:$B$66,I19)=1,IFERROR(INDEX('Vols additionnels'!$D$7:$D$66,MATCH(I19&amp;"|"&amp;$C$5,'Vols additionnels'!$H$7:$H$66,0)),""),SUMIFS('Vols additionnels'!$E$7:$E$66,'Vols additionnels'!$C$7:$C$66,$C$5,'Vols additionnels'!$B$7:$B$66,I19)&amp;"x"&amp;IFERROR(INDEX('Vols additionnels'!$D$7:$D$66,MATCH(I19&amp;"|"&amp;$C$5,'Vols additionnels'!$H$7:$H$66,0)),"")),SUMIFS('Vols additionnels'!$E$7:$E$66,'Vols additionnels'!$C$7:$C$66,$C$5,'Vols additionnels'!$B$7:$B$66,I19)&amp;" vols")&amp;")"))="","",CHAR(10))&amp;"&lt; "&amp;$U$18))</f>
        <v/>
      </c>
      <c r="N18" s="26" t="s">
        <v>74</v>
      </c>
      <c r="O18" s="27" t="str">
        <f aca="false">SUBSTITUTE(TRIM(IF(O$25=0,"",IF(O$25=1,"77W",O$25&amp;"x77W"))&amp;" "&amp;IF(O$26=0,"",IF(O$26=1,"787",O$26&amp;"x787"))&amp;" "&amp;IF(O$27=0,"",IF(O$27=1,"A320",O$27&amp;"xA320")))," ","/")</f>
        <v/>
      </c>
      <c r="P18" s="27" t="str">
        <f aca="false">SUBSTITUTE(TRIM(IF(P$25=0,"",IF(P$25=1,"77W",P$25&amp;"x77W"))&amp;" "&amp;IF(P$26=0,"",IF(P$26=1,"787",P$26&amp;"x787"))&amp;" "&amp;IF(P$27=0,"",IF(P$27=1,"A320",P$27&amp;"xA320")))," ","/")</f>
        <v/>
      </c>
      <c r="Q18" s="27" t="str">
        <f aca="false">SUBSTITUTE(TRIM(IF(Q$25=0,"",IF(Q$25=1,"77W",Q$25&amp;"x77W"))&amp;" "&amp;IF(Q$26=0,"",IF(Q$26=1,"787",Q$26&amp;"x787"))&amp;" "&amp;IF(Q$27=0,"",IF(Q$27=1,"A320",Q$27&amp;"xA320")))," ","/")</f>
        <v/>
      </c>
      <c r="R18" s="27" t="str">
        <f aca="false">SUBSTITUTE(TRIM(IF(R$25=0,"",IF(R$25=1,"77W",R$25&amp;"x77W"))&amp;" "&amp;IF(R$26=0,"",IF(R$26=1,"787",R$26&amp;"x787"))&amp;" "&amp;IF(R$27=0,"",IF(R$27=1,"A320",R$27&amp;"xA320")))," ","/")</f>
        <v/>
      </c>
      <c r="S18" s="27" t="str">
        <f aca="false">SUBSTITUTE(TRIM(IF(S$25=0,"",IF(S$25=1,"77W",S$25&amp;"x77W"))&amp;" "&amp;IF(S$26=0,"",IF(S$26=1,"787",S$26&amp;"x787"))&amp;" "&amp;IF(S$27=0,"",IF(S$27=1,"A320",S$27&amp;"xA320")))," ","/")</f>
        <v/>
      </c>
      <c r="T18" s="27" t="str">
        <f aca="false">SUBSTITUTE(TRIM(IF(T$25=0,"",IF(T$25=1,"77W",T$25&amp;"x77W"))&amp;" "&amp;IF(T$26=0,"",IF(T$26=1,"787",T$26&amp;"x787"))&amp;" "&amp;IF(T$27=0,"",IF(T$27=1,"A320",T$27&amp;"xA320")))," ","/")</f>
        <v/>
      </c>
      <c r="U18" s="27" t="str">
        <f aca="false">SUBSTITUTE(TRIM(IF(U$25=0,"",IF(U$25=1,"77W",U$25&amp;"x77W"))&amp;" "&amp;IF(U$26=0,"",IF(U$26=1,"787",U$26&amp;"x787"))&amp;" "&amp;IF(U$27=0,"",IF(U$27=1,"A320",U$27&amp;"xA320")))," ","/")</f>
        <v/>
      </c>
    </row>
    <row r="19" customFormat="false" ht="13.5" hidden="false" customHeight="true" outlineLevel="0" collapsed="false">
      <c r="B19" s="20" t="str">
        <f aca="false">IF(COUNT(C19:I19)=0,"","du "&amp;TEXT(MIN(C19:I19),"DD/MM")&amp;" au "&amp;TEXT(MAX(C19:I19),"DD/MM"))</f>
        <v/>
      </c>
      <c r="C19" s="21" t="str">
        <f aca="false">IF(OR($O$6+35&lt;$O$4,$O$6+35&gt;$O$5),"",$O$6+35)</f>
        <v/>
      </c>
      <c r="D19" s="21" t="str">
        <f aca="false">IF(OR($O$6+36&lt;$O$4,$O$6+36&gt;$O$5),"",$O$6+36)</f>
        <v/>
      </c>
      <c r="E19" s="21" t="str">
        <f aca="false">IF(OR($O$6+37&lt;$O$4,$O$6+37&gt;$O$5),"",$O$6+37)</f>
        <v/>
      </c>
      <c r="F19" s="21" t="str">
        <f aca="false">IF(OR($O$6+38&lt;$O$4,$O$6+38&gt;$O$5),"",$O$6+38)</f>
        <v/>
      </c>
      <c r="G19" s="21" t="str">
        <f aca="false">IF(OR($O$6+39&lt;$O$4,$O$6+39&gt;$O$5),"",$O$6+39)</f>
        <v/>
      </c>
      <c r="H19" s="21" t="str">
        <f aca="false">IF(OR($O$6+40&lt;$O$4,$O$6+40&gt;$O$5),"",$O$6+40)</f>
        <v/>
      </c>
      <c r="I19" s="21" t="str">
        <f aca="false">IF(OR($O$6+41&lt;$O$4,$O$6+41&gt;$O$5),"",$O$6+41)</f>
        <v/>
      </c>
      <c r="N19" s="28" t="s">
        <v>75</v>
      </c>
      <c r="O19" s="12" t="str">
        <f aca="false">IFERROR(INDEX($O$31:$U$66,(MATCH($C$5,$Z$4:$Z$15,0)-1)*3+1,1)&amp;"","")</f>
        <v/>
      </c>
      <c r="P19" s="12" t="str">
        <f aca="false">IFERROR(INDEX($O$31:$U$66,(MATCH($C$5,$Z$4:$Z$15,0)-1)*3+1,2)&amp;"","")</f>
        <v/>
      </c>
      <c r="Q19" s="12" t="str">
        <f aca="false">IFERROR(INDEX($O$31:$U$66,(MATCH($C$5,$Z$4:$Z$15,0)-1)*3+1,3)&amp;"","")</f>
        <v/>
      </c>
      <c r="R19" s="12" t="str">
        <f aca="false">IFERROR(INDEX($O$31:$U$66,(MATCH($C$5,$Z$4:$Z$15,0)-1)*3+1,4)&amp;"","")</f>
        <v/>
      </c>
      <c r="S19" s="12" t="str">
        <f aca="false">IFERROR(INDEX($O$31:$U$66,(MATCH($C$5,$Z$4:$Z$15,0)-1)*3+1,5)&amp;"","")</f>
        <v/>
      </c>
      <c r="T19" s="12" t="str">
        <f aca="false">IFERROR(INDEX($O$31:$U$66,(MATCH($C$5,$Z$4:$Z$15,0)-1)*3+1,6)&amp;"","")</f>
        <v/>
      </c>
      <c r="U19" s="12" t="str">
        <f aca="false">IFERROR(INDEX($O$31:$U$66,(MATCH($C$5,$Z$4:$Z$15,0)-1)*3+1,7)&amp;"","")</f>
        <v/>
      </c>
    </row>
    <row r="20" customFormat="false" ht="15" hidden="false" customHeight="false" outlineLevel="0" collapsed="false">
      <c r="B20" s="29" t="s">
        <v>76</v>
      </c>
      <c r="C20" s="30" t="n">
        <f aca="false">COUNT(C9,C11,C13,C15,C17,C19)</f>
        <v>4</v>
      </c>
      <c r="D20" s="30" t="n">
        <f aca="false">COUNT(D9,D11,D13,D15,D17,D19)</f>
        <v>4</v>
      </c>
      <c r="E20" s="30" t="n">
        <f aca="false">COUNT(E9,E11,E13,E15,E17,E19)</f>
        <v>4</v>
      </c>
      <c r="F20" s="30" t="n">
        <f aca="false">COUNT(F9,F11,F13,F15,F17,F19)</f>
        <v>5</v>
      </c>
      <c r="G20" s="30" t="n">
        <f aca="false">COUNT(G9,G11,G13,G15,G17,G19)</f>
        <v>5</v>
      </c>
      <c r="H20" s="30" t="n">
        <f aca="false">COUNT(H9,H11,H13,H15,H17,H19)</f>
        <v>4</v>
      </c>
      <c r="I20" s="30" t="n">
        <f aca="false">COUNT(I9,I11,I13,I15,I17,I19)</f>
        <v>4</v>
      </c>
      <c r="N20" s="28" t="s">
        <v>77</v>
      </c>
      <c r="O20" s="12" t="str">
        <f aca="false">IFERROR(INDEX($O$31:$U$66,(MATCH($C$5,$Z$4:$Z$15,0)-1)*3+2,1)&amp;"","")</f>
        <v/>
      </c>
      <c r="P20" s="12" t="str">
        <f aca="false">IFERROR(INDEX($O$31:$U$66,(MATCH($C$5,$Z$4:$Z$15,0)-1)*3+2,2)&amp;"","")</f>
        <v/>
      </c>
      <c r="Q20" s="12" t="str">
        <f aca="false">IFERROR(INDEX($O$31:$U$66,(MATCH($C$5,$Z$4:$Z$15,0)-1)*3+2,3)&amp;"","")</f>
        <v/>
      </c>
      <c r="R20" s="12" t="str">
        <f aca="false">IFERROR(INDEX($O$31:$U$66,(MATCH($C$5,$Z$4:$Z$15,0)-1)*3+2,4)&amp;"","")</f>
        <v/>
      </c>
      <c r="S20" s="12" t="str">
        <f aca="false">IFERROR(INDEX($O$31:$U$66,(MATCH($C$5,$Z$4:$Z$15,0)-1)*3+2,5)&amp;"","")</f>
        <v/>
      </c>
      <c r="T20" s="12" t="str">
        <f aca="false">IFERROR(INDEX($O$31:$U$66,(MATCH($C$5,$Z$4:$Z$15,0)-1)*3+2,6)&amp;"","")</f>
        <v/>
      </c>
      <c r="U20" s="12" t="str">
        <f aca="false">IFERROR(INDEX($O$31:$U$66,(MATCH($C$5,$Z$4:$Z$15,0)-1)*3+2,7)&amp;"","")</f>
        <v/>
      </c>
    </row>
    <row r="21" customFormat="false" ht="15" hidden="false" customHeight="false" outlineLevel="0" collapsed="false">
      <c r="B21" s="29" t="s">
        <v>78</v>
      </c>
      <c r="C21" s="30" t="n">
        <f aca="false">IF(COUNT(C9:I9)&gt;0,1,0)+IF(COUNT(C11:I11)&gt;0,1,0)+IF(COUNT(C13:I13)&gt;0,1,0)+IF(COUNT(C15:I15)&gt;0,1,0)+IF(COUNT(C17:I17)&gt;0,1,0)+IF(COUNT(C19:I19)&gt;0,1,0)</f>
        <v>5</v>
      </c>
      <c r="D21" s="31" t="s">
        <v>79</v>
      </c>
      <c r="E21" s="31"/>
      <c r="F21" s="31"/>
      <c r="G21" s="31"/>
      <c r="H21" s="31"/>
      <c r="I21" s="31"/>
      <c r="N21" s="28" t="s">
        <v>80</v>
      </c>
      <c r="O21" s="12" t="str">
        <f aca="false">IFERROR(INDEX($O$31:$U$66,(MATCH($C$5,$Z$4:$Z$15,0)-1)*3+3,1)&amp;"","")</f>
        <v>0</v>
      </c>
      <c r="P21" s="12" t="str">
        <f aca="false">IFERROR(INDEX($O$31:$U$66,(MATCH($C$5,$Z$4:$Z$15,0)-1)*3+3,2)&amp;"","")</f>
        <v/>
      </c>
      <c r="Q21" s="12" t="str">
        <f aca="false">IFERROR(INDEX($O$31:$U$66,(MATCH($C$5,$Z$4:$Z$15,0)-1)*3+3,3)&amp;"","")</f>
        <v/>
      </c>
      <c r="R21" s="12" t="str">
        <f aca="false">IFERROR(INDEX($O$31:$U$66,(MATCH($C$5,$Z$4:$Z$15,0)-1)*3+3,4)&amp;"","")</f>
        <v>0</v>
      </c>
      <c r="S21" s="12" t="str">
        <f aca="false">IFERROR(INDEX($O$31:$U$66,(MATCH($C$5,$Z$4:$Z$15,0)-1)*3+3,5)&amp;"","")</f>
        <v/>
      </c>
      <c r="T21" s="12" t="str">
        <f aca="false">IFERROR(INDEX($O$31:$U$66,(MATCH($C$5,$Z$4:$Z$15,0)-1)*3+3,6)&amp;"","")</f>
        <v>0</v>
      </c>
      <c r="U21" s="12" t="str">
        <f aca="false">IFERROR(INDEX($O$31:$U$66,(MATCH($C$5,$Z$4:$Z$15,0)-1)*3+3,7)&amp;"","")</f>
        <v/>
      </c>
    </row>
    <row r="22" customFormat="false" ht="15" hidden="false" customHeight="false" outlineLevel="0" collapsed="false">
      <c r="N22" s="28" t="s">
        <v>81</v>
      </c>
      <c r="O22" s="32" t="n">
        <f aca="false">LEN(O19)</f>
        <v>0</v>
      </c>
      <c r="P22" s="32" t="n">
        <f aca="false">LEN(P19)</f>
        <v>0</v>
      </c>
      <c r="Q22" s="32" t="n">
        <f aca="false">LEN(Q19)</f>
        <v>0</v>
      </c>
      <c r="R22" s="32" t="n">
        <f aca="false">LEN(R19)</f>
        <v>0</v>
      </c>
      <c r="S22" s="32" t="n">
        <f aca="false">LEN(S19)</f>
        <v>0</v>
      </c>
      <c r="T22" s="32" t="n">
        <f aca="false">LEN(T19)</f>
        <v>0</v>
      </c>
      <c r="U22" s="32" t="n">
        <f aca="false">LEN(U19)</f>
        <v>0</v>
      </c>
    </row>
    <row r="23" customFormat="false" ht="15" hidden="false" customHeight="false" outlineLevel="0" collapsed="false">
      <c r="B23" s="14" t="s">
        <v>82</v>
      </c>
      <c r="C23" s="14"/>
      <c r="D23" s="14"/>
      <c r="E23" s="14"/>
      <c r="F23" s="14"/>
      <c r="G23" s="14"/>
      <c r="H23" s="14"/>
      <c r="I23" s="14"/>
      <c r="J23" s="14"/>
      <c r="K23" s="14"/>
      <c r="L23" s="14"/>
      <c r="N23" s="28" t="s">
        <v>83</v>
      </c>
      <c r="O23" s="32" t="n">
        <f aca="false">LEN(O20)</f>
        <v>0</v>
      </c>
      <c r="P23" s="32" t="n">
        <f aca="false">LEN(P20)</f>
        <v>0</v>
      </c>
      <c r="Q23" s="32" t="n">
        <f aca="false">LEN(Q20)</f>
        <v>0</v>
      </c>
      <c r="R23" s="32" t="n">
        <f aca="false">LEN(R20)</f>
        <v>0</v>
      </c>
      <c r="S23" s="32" t="n">
        <f aca="false">LEN(S20)</f>
        <v>0</v>
      </c>
      <c r="T23" s="32" t="n">
        <f aca="false">LEN(T20)</f>
        <v>0</v>
      </c>
      <c r="U23" s="32" t="n">
        <f aca="false">LEN(U20)</f>
        <v>0</v>
      </c>
    </row>
    <row r="24" customFormat="false" ht="43.5" hidden="false" customHeight="true" outlineLevel="0" collapsed="false">
      <c r="B24" s="33" t="s">
        <v>84</v>
      </c>
      <c r="C24" s="33" t="s">
        <v>38</v>
      </c>
      <c r="D24" s="33" t="s">
        <v>85</v>
      </c>
      <c r="E24" s="33" t="s">
        <v>86</v>
      </c>
      <c r="F24" s="33" t="s">
        <v>87</v>
      </c>
      <c r="G24" s="33" t="s">
        <v>44</v>
      </c>
      <c r="H24" s="33" t="s">
        <v>88</v>
      </c>
      <c r="I24" s="33" t="s">
        <v>89</v>
      </c>
      <c r="J24" s="33" t="s">
        <v>90</v>
      </c>
      <c r="K24" s="33" t="s">
        <v>91</v>
      </c>
      <c r="L24" s="33" t="s">
        <v>92</v>
      </c>
      <c r="N24" s="28" t="s">
        <v>93</v>
      </c>
      <c r="O24" s="32" t="n">
        <f aca="false">LEN(O21)</f>
        <v>1</v>
      </c>
      <c r="P24" s="32" t="n">
        <f aca="false">LEN(P21)</f>
        <v>0</v>
      </c>
      <c r="Q24" s="32" t="n">
        <f aca="false">LEN(Q21)</f>
        <v>0</v>
      </c>
      <c r="R24" s="32" t="n">
        <f aca="false">LEN(R21)</f>
        <v>1</v>
      </c>
      <c r="S24" s="32" t="n">
        <f aca="false">LEN(S21)</f>
        <v>0</v>
      </c>
      <c r="T24" s="32" t="n">
        <f aca="false">LEN(T21)</f>
        <v>1</v>
      </c>
      <c r="U24" s="32" t="n">
        <f aca="false">LEN(U21)</f>
        <v>0</v>
      </c>
    </row>
    <row r="25" customFormat="false" ht="24" hidden="false" customHeight="true" outlineLevel="0" collapsed="false">
      <c r="B25" s="34" t="str">
        <f aca="false">$Z$4</f>
        <v>CDGRUN</v>
      </c>
      <c r="C25" s="35" t="str">
        <f aca="false">IF(E25=0,"-",SUBSTITUTE(TRIM(IF(SUMPRODUCT(LEN($O$31:$U$31))&gt;0,"77W("&amp;SUMPRODUCT(LEN($O$31:$U$31))&amp;") ","")&amp;IF(SUMPRODUCT(LEN($O$32:$U$32))&gt;0,"787("&amp;SUMPRODUCT(LEN($O$32:$U$32))&amp;") ","")&amp;IF(SUMPRODUCT(LEN($O$33:$U$33))&gt;0,"A320("&amp;SUMPRODUCT(LEN($O$33:$U$33))&amp;") ",""))," ",", "))</f>
        <v>77W(7), 787(2), A320(2)</v>
      </c>
      <c r="D25" s="35" t="str">
        <f aca="false">IF(E25=0,"aucune operation",SUBSTITUTE(TRIM(IF(SUMPRODUCT(LEN($O$31:$O$33))&gt;0,"J1 ","")&amp;IF(SUMPRODUCT(LEN($P$31:$P$33))&gt;0,"J2 ","")&amp;IF(SUMPRODUCT(LEN($Q$31:$Q$33))&gt;0,"J3 ","")&amp;IF(SUMPRODUCT(LEN($R$31:$R$33))&gt;0,"J4 ","")&amp;IF(SUMPRODUCT(LEN($S$31:$S$33))&gt;0,"J5 ","")&amp;IF(SUMPRODUCT(LEN($T$31:$T$33))&gt;0,"J6 ","")&amp;IF(SUMPRODUCT(LEN($U$31:$U$33))&gt;0,"J7 ",""))," ",", "))</f>
        <v>J1, J2, J3, J4, J5, J6, J7</v>
      </c>
      <c r="E25" s="36" t="n">
        <f aca="false">SUMPRODUCT(LEN($O$31:$U$31))+SUMPRODUCT(LEN($O$32:$U$32))+SUMPRODUCT(LEN($O$33:$U$33))</f>
        <v>11</v>
      </c>
      <c r="F25" s="36" t="n">
        <f aca="false">$C$21</f>
        <v>5</v>
      </c>
      <c r="G25" s="37" t="n">
        <f aca="false">H25+I25</f>
        <v>47</v>
      </c>
      <c r="H25" s="36" t="n">
        <f aca="false">SUMPRODUCT($C$20:$I$20,LEN($O$31:$U$31))+SUMPRODUCT($C$20:$I$20,LEN($O$32:$U$32))+SUMPRODUCT($C$20:$I$20,LEN($O$33:$U$33))</f>
        <v>47</v>
      </c>
      <c r="I25" s="36" t="n">
        <f aca="false">SUMIFS('Vols additionnels'!$E$7:$E$66,'Vols additionnels'!$C$7:$C$66,$B25,'Vols additionnels'!$B$7:$B$66,"&gt;="&amp;$O$4,'Vols additionnels'!$B$7:$B$66,"&lt;="&amp;$O$5)</f>
        <v>0</v>
      </c>
      <c r="J25" s="38" t="n">
        <f aca="false">SUMPRODUCT($C$20:$I$20,LEN($O$31:$U$31))+SUMIFS('Vols additionnels'!$E$7:$E$66,'Vols additionnels'!$C$7:$C$66,$B25,'Vols additionnels'!$D$7:$D$66,"77W",'Vols additionnels'!$B$7:$B$66,"&gt;="&amp;$O$4,'Vols additionnels'!$B$7:$B$66,"&lt;="&amp;$O$5)</f>
        <v>30</v>
      </c>
      <c r="K25" s="38" t="n">
        <f aca="false">SUMPRODUCT($C$20:$I$20,LEN($O$32:$U$32))+SUMIFS('Vols additionnels'!$E$7:$E$66,'Vols additionnels'!$C$7:$C$66,$B25,'Vols additionnels'!$D$7:$D$66,"787",'Vols additionnels'!$B$7:$B$66,"&gt;="&amp;$O$4,'Vols additionnels'!$B$7:$B$66,"&lt;="&amp;$O$5)</f>
        <v>9</v>
      </c>
      <c r="L25" s="38" t="n">
        <f aca="false">SUMPRODUCT($C$20:$I$20,LEN($O$33:$U$33))+SUMIFS('Vols additionnels'!$E$7:$E$66,'Vols additionnels'!$C$7:$C$66,$B25,'Vols additionnels'!$D$7:$D$66,"A320",'Vols additionnels'!$B$7:$B$66,"&gt;="&amp;$O$4,'Vols additionnels'!$B$7:$B$66,"&lt;="&amp;$O$5)</f>
        <v>8</v>
      </c>
      <c r="N25" s="28" t="s">
        <v>94</v>
      </c>
      <c r="O25" s="32" t="n">
        <f aca="false">LEN(U$19)-LEN(SUBSTITUTE(U$19,"1",""))+LEN(T$19)-LEN(SUBSTITUTE(T$19,"2",""))+LEN(S$19)-LEN(SUBSTITUTE(S$19,"3",""))</f>
        <v>0</v>
      </c>
      <c r="P25" s="32" t="n">
        <f aca="false">LEN(O$19)-LEN(SUBSTITUTE(O$19,"1",""))+LEN(U$19)-LEN(SUBSTITUTE(U$19,"2",""))+LEN(T$19)-LEN(SUBSTITUTE(T$19,"3",""))</f>
        <v>0</v>
      </c>
      <c r="Q25" s="32" t="n">
        <f aca="false">LEN(P$19)-LEN(SUBSTITUTE(P$19,"1",""))+LEN(O$19)-LEN(SUBSTITUTE(O$19,"2",""))+LEN(U$19)-LEN(SUBSTITUTE(U$19,"3",""))</f>
        <v>0</v>
      </c>
      <c r="R25" s="32" t="n">
        <f aca="false">LEN(Q$19)-LEN(SUBSTITUTE(Q$19,"1",""))+LEN(P$19)-LEN(SUBSTITUTE(P$19,"2",""))+LEN(O$19)-LEN(SUBSTITUTE(O$19,"3",""))</f>
        <v>0</v>
      </c>
      <c r="S25" s="32" t="n">
        <f aca="false">LEN(R$19)-LEN(SUBSTITUTE(R$19,"1",""))+LEN(Q$19)-LEN(SUBSTITUTE(Q$19,"2",""))+LEN(P$19)-LEN(SUBSTITUTE(P$19,"3",""))</f>
        <v>0</v>
      </c>
      <c r="T25" s="32" t="n">
        <f aca="false">LEN(S$19)-LEN(SUBSTITUTE(S$19,"1",""))+LEN(R$19)-LEN(SUBSTITUTE(R$19,"2",""))+LEN(Q$19)-LEN(SUBSTITUTE(Q$19,"3",""))</f>
        <v>0</v>
      </c>
      <c r="U25" s="32" t="n">
        <f aca="false">LEN(T$19)-LEN(SUBSTITUTE(T$19,"1",""))+LEN(S$19)-LEN(SUBSTITUTE(S$19,"2",""))+LEN(R$19)-LEN(SUBSTITUTE(R$19,"3",""))</f>
        <v>0</v>
      </c>
    </row>
    <row r="26" customFormat="false" ht="24" hidden="false" customHeight="true" outlineLevel="0" collapsed="false">
      <c r="B26" s="34" t="str">
        <f aca="false">$Z$5</f>
        <v>CDGDZA</v>
      </c>
      <c r="C26" s="35" t="str">
        <f aca="false">IF(E26=0,"-",SUBSTITUTE(TRIM(IF(SUMPRODUCT(LEN($O$34:$U$34))&gt;0,"77W("&amp;SUMPRODUCT(LEN($O$34:$U$34))&amp;") ","")&amp;IF(SUMPRODUCT(LEN($O$35:$U$35))&gt;0,"787("&amp;SUMPRODUCT(LEN($O$35:$U$35))&amp;") ","")&amp;IF(SUMPRODUCT(LEN($O$36:$U$36))&gt;0,"A320("&amp;SUMPRODUCT(LEN($O$36:$U$36))&amp;") ",""))," ",", "))</f>
        <v>77W(1), 787(2)</v>
      </c>
      <c r="D26" s="35" t="str">
        <f aca="false">IF(E26=0,"aucune operation",SUBSTITUTE(TRIM(IF(SUMPRODUCT(LEN($O$34:$O$36))&gt;0,"J1 ","")&amp;IF(SUMPRODUCT(LEN($P$34:$P$36))&gt;0,"J2 ","")&amp;IF(SUMPRODUCT(LEN($Q$34:$Q$36))&gt;0,"J3 ","")&amp;IF(SUMPRODUCT(LEN($R$34:$R$36))&gt;0,"J4 ","")&amp;IF(SUMPRODUCT(LEN($S$34:$S$36))&gt;0,"J5 ","")&amp;IF(SUMPRODUCT(LEN($T$34:$T$36))&gt;0,"J6 ","")&amp;IF(SUMPRODUCT(LEN($U$34:$U$36))&gt;0,"J7 ",""))," ",", "))</f>
        <v>J2, J5, J7</v>
      </c>
      <c r="E26" s="36" t="n">
        <f aca="false">SUMPRODUCT(LEN($O$34:$U$34))+SUMPRODUCT(LEN($O$35:$U$35))+SUMPRODUCT(LEN($O$36:$U$36))</f>
        <v>3</v>
      </c>
      <c r="F26" s="36" t="n">
        <f aca="false">$C$21</f>
        <v>5</v>
      </c>
      <c r="G26" s="37" t="n">
        <f aca="false">H26+I26</f>
        <v>13</v>
      </c>
      <c r="H26" s="36" t="n">
        <f aca="false">SUMPRODUCT($C$20:$I$20,LEN($O$34:$U$34))+SUMPRODUCT($C$20:$I$20,LEN($O$35:$U$35))+SUMPRODUCT($C$20:$I$20,LEN($O$36:$U$36))</f>
        <v>13</v>
      </c>
      <c r="I26" s="36" t="n">
        <f aca="false">SUMIFS('Vols additionnels'!$E$7:$E$66,'Vols additionnels'!$C$7:$C$66,$B26,'Vols additionnels'!$B$7:$B$66,"&gt;="&amp;$O$4,'Vols additionnels'!$B$7:$B$66,"&lt;="&amp;$O$5)</f>
        <v>0</v>
      </c>
      <c r="J26" s="38" t="n">
        <f aca="false">SUMPRODUCT($C$20:$I$20,LEN($O$34:$U$34))+SUMIFS('Vols additionnels'!$E$7:$E$66,'Vols additionnels'!$C$7:$C$66,$B26,'Vols additionnels'!$D$7:$D$66,"77W",'Vols additionnels'!$B$7:$B$66,"&gt;="&amp;$O$4,'Vols additionnels'!$B$7:$B$66,"&lt;="&amp;$O$5)</f>
        <v>4</v>
      </c>
      <c r="K26" s="38" t="n">
        <f aca="false">SUMPRODUCT($C$20:$I$20,LEN($O$35:$U$35))+SUMIFS('Vols additionnels'!$E$7:$E$66,'Vols additionnels'!$C$7:$C$66,$B26,'Vols additionnels'!$D$7:$D$66,"787",'Vols additionnels'!$B$7:$B$66,"&gt;="&amp;$O$4,'Vols additionnels'!$B$7:$B$66,"&lt;="&amp;$O$5)</f>
        <v>9</v>
      </c>
      <c r="L26" s="38" t="n">
        <f aca="false">SUMPRODUCT($C$20:$I$20,LEN($O$36:$U$36))+SUMIFS('Vols additionnels'!$E$7:$E$66,'Vols additionnels'!$C$7:$C$66,$B26,'Vols additionnels'!$D$7:$D$66,"A320",'Vols additionnels'!$B$7:$B$66,"&gt;="&amp;$O$4,'Vols additionnels'!$B$7:$B$66,"&lt;="&amp;$O$5)</f>
        <v>0</v>
      </c>
      <c r="N26" s="28" t="s">
        <v>95</v>
      </c>
      <c r="O26" s="32" t="n">
        <f aca="false">LEN(U$20)-LEN(SUBSTITUTE(U$20,"1",""))+LEN(T$20)-LEN(SUBSTITUTE(T$20,"2",""))+LEN(S$20)-LEN(SUBSTITUTE(S$20,"3",""))</f>
        <v>0</v>
      </c>
      <c r="P26" s="32" t="n">
        <f aca="false">LEN(O$20)-LEN(SUBSTITUTE(O$20,"1",""))+LEN(U$20)-LEN(SUBSTITUTE(U$20,"2",""))+LEN(T$20)-LEN(SUBSTITUTE(T$20,"3",""))</f>
        <v>0</v>
      </c>
      <c r="Q26" s="32" t="n">
        <f aca="false">LEN(P$20)-LEN(SUBSTITUTE(P$20,"1",""))+LEN(O$20)-LEN(SUBSTITUTE(O$20,"2",""))+LEN(U$20)-LEN(SUBSTITUTE(U$20,"3",""))</f>
        <v>0</v>
      </c>
      <c r="R26" s="32" t="n">
        <f aca="false">LEN(Q$20)-LEN(SUBSTITUTE(Q$20,"1",""))+LEN(P$20)-LEN(SUBSTITUTE(P$20,"2",""))+LEN(O$20)-LEN(SUBSTITUTE(O$20,"3",""))</f>
        <v>0</v>
      </c>
      <c r="S26" s="32" t="n">
        <f aca="false">LEN(R$20)-LEN(SUBSTITUTE(R$20,"1",""))+LEN(Q$20)-LEN(SUBSTITUTE(Q$20,"2",""))+LEN(P$20)-LEN(SUBSTITUTE(P$20,"3",""))</f>
        <v>0</v>
      </c>
      <c r="T26" s="32" t="n">
        <f aca="false">LEN(S$20)-LEN(SUBSTITUTE(S$20,"1",""))+LEN(R$20)-LEN(SUBSTITUTE(R$20,"2",""))+LEN(Q$20)-LEN(SUBSTITUTE(Q$20,"3",""))</f>
        <v>0</v>
      </c>
      <c r="U26" s="32" t="n">
        <f aca="false">LEN(T$20)-LEN(SUBSTITUTE(T$20,"1",""))+LEN(S$20)-LEN(SUBSTITUTE(S$20,"2",""))+LEN(R$20)-LEN(SUBSTITUTE(R$20,"3",""))</f>
        <v>0</v>
      </c>
    </row>
    <row r="27" customFormat="false" ht="24" hidden="false" customHeight="true" outlineLevel="0" collapsed="false">
      <c r="B27" s="34" t="str">
        <f aca="false">$Z$6</f>
        <v>BKKRUN</v>
      </c>
      <c r="C27" s="35" t="str">
        <f aca="false">IF(E27=0,"-",SUBSTITUTE(TRIM(IF(SUMPRODUCT(LEN($O$37:$U$37))&gt;0,"77W("&amp;SUMPRODUCT(LEN($O$37:$U$37))&amp;") ","")&amp;IF(SUMPRODUCT(LEN($O$38:$U$38))&gt;0,"787("&amp;SUMPRODUCT(LEN($O$38:$U$38))&amp;") ","")&amp;IF(SUMPRODUCT(LEN($O$39:$U$39))&gt;0,"A320("&amp;SUMPRODUCT(LEN($O$39:$U$39))&amp;") ",""))," ",", "))</f>
        <v>787(2)</v>
      </c>
      <c r="D27" s="35" t="str">
        <f aca="false">IF(E27=0,"aucune operation",SUBSTITUTE(TRIM(IF(SUMPRODUCT(LEN($O$37:$O$39))&gt;0,"J1 ","")&amp;IF(SUMPRODUCT(LEN($P$37:$P$39))&gt;0,"J2 ","")&amp;IF(SUMPRODUCT(LEN($Q$37:$Q$39))&gt;0,"J3 ","")&amp;IF(SUMPRODUCT(LEN($R$37:$R$39))&gt;0,"J4 ","")&amp;IF(SUMPRODUCT(LEN($S$37:$S$39))&gt;0,"J5 ","")&amp;IF(SUMPRODUCT(LEN($T$37:$T$39))&gt;0,"J6 ","")&amp;IF(SUMPRODUCT(LEN($U$37:$U$39))&gt;0,"J7 ",""))," ",", "))</f>
        <v>J3, J6</v>
      </c>
      <c r="E27" s="36" t="n">
        <f aca="false">SUMPRODUCT(LEN($O$37:$U$37))+SUMPRODUCT(LEN($O$38:$U$38))+SUMPRODUCT(LEN($O$39:$U$39))</f>
        <v>2</v>
      </c>
      <c r="F27" s="36" t="n">
        <f aca="false">$C$21</f>
        <v>5</v>
      </c>
      <c r="G27" s="37" t="n">
        <f aca="false">H27+I27</f>
        <v>8</v>
      </c>
      <c r="H27" s="36" t="n">
        <f aca="false">SUMPRODUCT($C$20:$I$20,LEN($O$37:$U$37))+SUMPRODUCT($C$20:$I$20,LEN($O$38:$U$38))+SUMPRODUCT($C$20:$I$20,LEN($O$39:$U$39))</f>
        <v>8</v>
      </c>
      <c r="I27" s="36" t="n">
        <f aca="false">SUMIFS('Vols additionnels'!$E$7:$E$66,'Vols additionnels'!$C$7:$C$66,$B27,'Vols additionnels'!$B$7:$B$66,"&gt;="&amp;$O$4,'Vols additionnels'!$B$7:$B$66,"&lt;="&amp;$O$5)</f>
        <v>0</v>
      </c>
      <c r="J27" s="38" t="n">
        <f aca="false">SUMPRODUCT($C$20:$I$20,LEN($O$37:$U$37))+SUMIFS('Vols additionnels'!$E$7:$E$66,'Vols additionnels'!$C$7:$C$66,$B27,'Vols additionnels'!$D$7:$D$66,"77W",'Vols additionnels'!$B$7:$B$66,"&gt;="&amp;$O$4,'Vols additionnels'!$B$7:$B$66,"&lt;="&amp;$O$5)</f>
        <v>0</v>
      </c>
      <c r="K27" s="38" t="n">
        <f aca="false">SUMPRODUCT($C$20:$I$20,LEN($O$38:$U$38))+SUMIFS('Vols additionnels'!$E$7:$E$66,'Vols additionnels'!$C$7:$C$66,$B27,'Vols additionnels'!$D$7:$D$66,"787",'Vols additionnels'!$B$7:$B$66,"&gt;="&amp;$O$4,'Vols additionnels'!$B$7:$B$66,"&lt;="&amp;$O$5)</f>
        <v>8</v>
      </c>
      <c r="L27" s="38" t="n">
        <f aca="false">SUMPRODUCT($C$20:$I$20,LEN($O$39:$U$39))+SUMIFS('Vols additionnels'!$E$7:$E$66,'Vols additionnels'!$C$7:$C$66,$B27,'Vols additionnels'!$D$7:$D$66,"A320",'Vols additionnels'!$B$7:$B$66,"&gt;="&amp;$O$4,'Vols additionnels'!$B$7:$B$66,"&lt;="&amp;$O$5)</f>
        <v>0</v>
      </c>
      <c r="N27" s="28" t="s">
        <v>96</v>
      </c>
      <c r="O27" s="32" t="n">
        <f aca="false">LEN(U$21)-LEN(SUBSTITUTE(U$21,"1",""))+LEN(T$21)-LEN(SUBSTITUTE(T$21,"2",""))+LEN(S$21)-LEN(SUBSTITUTE(S$21,"3",""))</f>
        <v>0</v>
      </c>
      <c r="P27" s="32" t="n">
        <f aca="false">LEN(O$21)-LEN(SUBSTITUTE(O$21,"1",""))+LEN(U$21)-LEN(SUBSTITUTE(U$21,"2",""))+LEN(T$21)-LEN(SUBSTITUTE(T$21,"3",""))</f>
        <v>0</v>
      </c>
      <c r="Q27" s="32" t="n">
        <f aca="false">LEN(P$21)-LEN(SUBSTITUTE(P$21,"1",""))+LEN(O$21)-LEN(SUBSTITUTE(O$21,"2",""))+LEN(U$21)-LEN(SUBSTITUTE(U$21,"3",""))</f>
        <v>0</v>
      </c>
      <c r="R27" s="32" t="n">
        <f aca="false">LEN(Q$21)-LEN(SUBSTITUTE(Q$21,"1",""))+LEN(P$21)-LEN(SUBSTITUTE(P$21,"2",""))+LEN(O$21)-LEN(SUBSTITUTE(O$21,"3",""))</f>
        <v>0</v>
      </c>
      <c r="S27" s="32" t="n">
        <f aca="false">LEN(R$21)-LEN(SUBSTITUTE(R$21,"1",""))+LEN(Q$21)-LEN(SUBSTITUTE(Q$21,"2",""))+LEN(P$21)-LEN(SUBSTITUTE(P$21,"3",""))</f>
        <v>0</v>
      </c>
      <c r="T27" s="32" t="n">
        <f aca="false">LEN(S$21)-LEN(SUBSTITUTE(S$21,"1",""))+LEN(R$21)-LEN(SUBSTITUTE(R$21,"2",""))+LEN(Q$21)-LEN(SUBSTITUTE(Q$21,"3",""))</f>
        <v>0</v>
      </c>
      <c r="U27" s="32" t="n">
        <f aca="false">LEN(T$21)-LEN(SUBSTITUTE(T$21,"1",""))+LEN(S$21)-LEN(SUBSTITUTE(S$21,"2",""))+LEN(R$21)-LEN(SUBSTITUTE(R$21,"3",""))</f>
        <v>0</v>
      </c>
    </row>
    <row r="28" customFormat="false" ht="24" hidden="false" customHeight="true" outlineLevel="0" collapsed="false">
      <c r="B28" s="34" t="str">
        <f aca="false">$Z$7</f>
        <v>DZARUN</v>
      </c>
      <c r="C28" s="35" t="str">
        <f aca="false">IF(E28=0,"-",SUBSTITUTE(TRIM(IF(SUMPRODUCT(LEN($O$40:$U$40))&gt;0,"77W("&amp;SUMPRODUCT(LEN($O$40:$U$40))&amp;") ","")&amp;IF(SUMPRODUCT(LEN($O$41:$U$41))&gt;0,"787("&amp;SUMPRODUCT(LEN($O$41:$U$41))&amp;") ","")&amp;IF(SUMPRODUCT(LEN($O$42:$U$42))&gt;0,"A320("&amp;SUMPRODUCT(LEN($O$42:$U$42))&amp;") ",""))," ",", "))</f>
        <v>787(1), A320(5)</v>
      </c>
      <c r="D28" s="35" t="str">
        <f aca="false">IF(E28=0,"aucune operation",SUBSTITUTE(TRIM(IF(SUMPRODUCT(LEN($O$40:$O$42))&gt;0,"J1 ","")&amp;IF(SUMPRODUCT(LEN($P$40:$P$42))&gt;0,"J2 ","")&amp;IF(SUMPRODUCT(LEN($Q$40:$Q$42))&gt;0,"J3 ","")&amp;IF(SUMPRODUCT(LEN($R$40:$R$42))&gt;0,"J4 ","")&amp;IF(SUMPRODUCT(LEN($S$40:$S$42))&gt;0,"J5 ","")&amp;IF(SUMPRODUCT(LEN($T$40:$T$42))&gt;0,"J6 ","")&amp;IF(SUMPRODUCT(LEN($U$40:$U$42))&gt;0,"J7 ",""))," ",", "))</f>
        <v>J1, J2, J3, J4, J5</v>
      </c>
      <c r="E28" s="36" t="n">
        <f aca="false">SUMPRODUCT(LEN($O$40:$U$40))+SUMPRODUCT(LEN($O$41:$U$41))+SUMPRODUCT(LEN($O$42:$U$42))</f>
        <v>6</v>
      </c>
      <c r="F28" s="36" t="n">
        <f aca="false">$C$21</f>
        <v>5</v>
      </c>
      <c r="G28" s="37" t="n">
        <f aca="false">H28+I28</f>
        <v>26</v>
      </c>
      <c r="H28" s="36" t="n">
        <f aca="false">SUMPRODUCT($C$20:$I$20,LEN($O$40:$U$40))+SUMPRODUCT($C$20:$I$20,LEN($O$41:$U$41))+SUMPRODUCT($C$20:$I$20,LEN($O$42:$U$42))</f>
        <v>26</v>
      </c>
      <c r="I28" s="36" t="n">
        <f aca="false">SUMIFS('Vols additionnels'!$E$7:$E$66,'Vols additionnels'!$C$7:$C$66,$B28,'Vols additionnels'!$B$7:$B$66,"&gt;="&amp;$O$4,'Vols additionnels'!$B$7:$B$66,"&lt;="&amp;$O$5)</f>
        <v>0</v>
      </c>
      <c r="J28" s="38" t="n">
        <f aca="false">SUMPRODUCT($C$20:$I$20,LEN($O$40:$U$40))+SUMIFS('Vols additionnels'!$E$7:$E$66,'Vols additionnels'!$C$7:$C$66,$B28,'Vols additionnels'!$D$7:$D$66,"77W",'Vols additionnels'!$B$7:$B$66,"&gt;="&amp;$O$4,'Vols additionnels'!$B$7:$B$66,"&lt;="&amp;$O$5)</f>
        <v>0</v>
      </c>
      <c r="K28" s="38" t="n">
        <f aca="false">SUMPRODUCT($C$20:$I$20,LEN($O$41:$U$41))+SUMIFS('Vols additionnels'!$E$7:$E$66,'Vols additionnels'!$C$7:$C$66,$B28,'Vols additionnels'!$D$7:$D$66,"787",'Vols additionnels'!$B$7:$B$66,"&gt;="&amp;$O$4,'Vols additionnels'!$B$7:$B$66,"&lt;="&amp;$O$5)</f>
        <v>4</v>
      </c>
      <c r="L28" s="38" t="n">
        <f aca="false">SUMPRODUCT($C$20:$I$20,LEN($O$42:$U$42))+SUMIFS('Vols additionnels'!$E$7:$E$66,'Vols additionnels'!$C$7:$C$66,$B28,'Vols additionnels'!$D$7:$D$66,"A320",'Vols additionnels'!$B$7:$B$66,"&gt;="&amp;$O$4,'Vols additionnels'!$B$7:$B$66,"&lt;="&amp;$O$5)</f>
        <v>22</v>
      </c>
    </row>
    <row r="29" customFormat="false" ht="24" hidden="false" customHeight="true" outlineLevel="0" collapsed="false">
      <c r="B29" s="34" t="str">
        <f aca="false">$Z$8</f>
        <v>MRURUN</v>
      </c>
      <c r="C29" s="35" t="str">
        <f aca="false">IF(E29=0,"-",SUBSTITUTE(TRIM(IF(SUMPRODUCT(LEN($O$43:$U$43))&gt;0,"77W("&amp;SUMPRODUCT(LEN($O$43:$U$43))&amp;") ","")&amp;IF(SUMPRODUCT(LEN($O$44:$U$44))&gt;0,"787("&amp;SUMPRODUCT(LEN($O$44:$U$44))&amp;") ","")&amp;IF(SUMPRODUCT(LEN($O$45:$U$45))&gt;0,"A320("&amp;SUMPRODUCT(LEN($O$45:$U$45))&amp;") ",""))," ",", "))</f>
        <v>A320(4)</v>
      </c>
      <c r="D29" s="35" t="str">
        <f aca="false">IF(E29=0,"aucune operation",SUBSTITUTE(TRIM(IF(SUMPRODUCT(LEN($O$43:$O$45))&gt;0,"J1 ","")&amp;IF(SUMPRODUCT(LEN($P$43:$P$45))&gt;0,"J2 ","")&amp;IF(SUMPRODUCT(LEN($Q$43:$Q$45))&gt;0,"J3 ","")&amp;IF(SUMPRODUCT(LEN($R$43:$R$45))&gt;0,"J4 ","")&amp;IF(SUMPRODUCT(LEN($S$43:$S$45))&gt;0,"J5 ","")&amp;IF(SUMPRODUCT(LEN($T$43:$T$45))&gt;0,"J6 ","")&amp;IF(SUMPRODUCT(LEN($U$43:$U$45))&gt;0,"J7 ",""))," ",", "))</f>
        <v>J1, J3, J5, J7</v>
      </c>
      <c r="E29" s="36" t="n">
        <f aca="false">SUMPRODUCT(LEN($O$43:$U$43))+SUMPRODUCT(LEN($O$44:$U$44))+SUMPRODUCT(LEN($O$45:$U$45))</f>
        <v>4</v>
      </c>
      <c r="F29" s="36" t="n">
        <f aca="false">$C$21</f>
        <v>5</v>
      </c>
      <c r="G29" s="37" t="n">
        <f aca="false">H29+I29</f>
        <v>17</v>
      </c>
      <c r="H29" s="36" t="n">
        <f aca="false">SUMPRODUCT($C$20:$I$20,LEN($O$43:$U$43))+SUMPRODUCT($C$20:$I$20,LEN($O$44:$U$44))+SUMPRODUCT($C$20:$I$20,LEN($O$45:$U$45))</f>
        <v>17</v>
      </c>
      <c r="I29" s="36" t="n">
        <f aca="false">SUMIFS('Vols additionnels'!$E$7:$E$66,'Vols additionnels'!$C$7:$C$66,$B29,'Vols additionnels'!$B$7:$B$66,"&gt;="&amp;$O$4,'Vols additionnels'!$B$7:$B$66,"&lt;="&amp;$O$5)</f>
        <v>0</v>
      </c>
      <c r="J29" s="38" t="n">
        <f aca="false">SUMPRODUCT($C$20:$I$20,LEN($O$43:$U$43))+SUMIFS('Vols additionnels'!$E$7:$E$66,'Vols additionnels'!$C$7:$C$66,$B29,'Vols additionnels'!$D$7:$D$66,"77W",'Vols additionnels'!$B$7:$B$66,"&gt;="&amp;$O$4,'Vols additionnels'!$B$7:$B$66,"&lt;="&amp;$O$5)</f>
        <v>0</v>
      </c>
      <c r="K29" s="38" t="n">
        <f aca="false">SUMPRODUCT($C$20:$I$20,LEN($O$44:$U$44))+SUMIFS('Vols additionnels'!$E$7:$E$66,'Vols additionnels'!$C$7:$C$66,$B29,'Vols additionnels'!$D$7:$D$66,"787",'Vols additionnels'!$B$7:$B$66,"&gt;="&amp;$O$4,'Vols additionnels'!$B$7:$B$66,"&lt;="&amp;$O$5)</f>
        <v>0</v>
      </c>
      <c r="L29" s="38" t="n">
        <f aca="false">SUMPRODUCT($C$20:$I$20,LEN($O$45:$U$45))+SUMIFS('Vols additionnels'!$E$7:$E$66,'Vols additionnels'!$C$7:$C$66,$B29,'Vols additionnels'!$D$7:$D$66,"A320",'Vols additionnels'!$B$7:$B$66,"&gt;="&amp;$O$4,'Vols additionnels'!$B$7:$B$66,"&lt;="&amp;$O$5)</f>
        <v>17</v>
      </c>
      <c r="N29" s="24" t="s">
        <v>97</v>
      </c>
      <c r="O29" s="24"/>
      <c r="P29" s="24"/>
      <c r="Q29" s="24"/>
      <c r="R29" s="24"/>
      <c r="S29" s="24"/>
      <c r="T29" s="24"/>
      <c r="U29" s="24"/>
    </row>
    <row r="30" customFormat="false" ht="24" hidden="false" customHeight="true" outlineLevel="0" collapsed="false">
      <c r="B30" s="34" t="str">
        <f aca="false">$Z$9</f>
        <v>NOSRUN</v>
      </c>
      <c r="C30" s="35" t="str">
        <f aca="false">IF(E30=0,"-",SUBSTITUTE(TRIM(IF(SUMPRODUCT(LEN($O$46:$U$46))&gt;0,"77W("&amp;SUMPRODUCT(LEN($O$46:$U$46))&amp;") ","")&amp;IF(SUMPRODUCT(LEN($O$47:$U$47))&gt;0,"787("&amp;SUMPRODUCT(LEN($O$47:$U$47))&amp;") ","")&amp;IF(SUMPRODUCT(LEN($O$48:$U$48))&gt;0,"A320("&amp;SUMPRODUCT(LEN($O$48:$U$48))&amp;") ",""))," ",", "))</f>
        <v>A320(3)</v>
      </c>
      <c r="D30" s="35" t="str">
        <f aca="false">IF(E30=0,"aucune operation",SUBSTITUTE(TRIM(IF(SUMPRODUCT(LEN($O$46:$O$48))&gt;0,"J1 ","")&amp;IF(SUMPRODUCT(LEN($P$46:$P$48))&gt;0,"J2 ","")&amp;IF(SUMPRODUCT(LEN($Q$46:$Q$48))&gt;0,"J3 ","")&amp;IF(SUMPRODUCT(LEN($R$46:$R$48))&gt;0,"J4 ","")&amp;IF(SUMPRODUCT(LEN($S$46:$S$48))&gt;0,"J5 ","")&amp;IF(SUMPRODUCT(LEN($T$46:$T$48))&gt;0,"J6 ","")&amp;IF(SUMPRODUCT(LEN($U$46:$U$48))&gt;0,"J7 ",""))," ",", "))</f>
        <v>J1, J4, J6</v>
      </c>
      <c r="E30" s="36" t="n">
        <f aca="false">SUMPRODUCT(LEN($O$46:$U$46))+SUMPRODUCT(LEN($O$47:$U$47))+SUMPRODUCT(LEN($O$48:$U$48))</f>
        <v>3</v>
      </c>
      <c r="F30" s="36" t="n">
        <f aca="false">$C$21</f>
        <v>5</v>
      </c>
      <c r="G30" s="37" t="n">
        <f aca="false">H30+I30</f>
        <v>13</v>
      </c>
      <c r="H30" s="36" t="n">
        <f aca="false">SUMPRODUCT($C$20:$I$20,LEN($O$46:$U$46))+SUMPRODUCT($C$20:$I$20,LEN($O$47:$U$47))+SUMPRODUCT($C$20:$I$20,LEN($O$48:$U$48))</f>
        <v>13</v>
      </c>
      <c r="I30" s="36" t="n">
        <f aca="false">SUMIFS('Vols additionnels'!$E$7:$E$66,'Vols additionnels'!$C$7:$C$66,$B30,'Vols additionnels'!$B$7:$B$66,"&gt;="&amp;$O$4,'Vols additionnels'!$B$7:$B$66,"&lt;="&amp;$O$5)</f>
        <v>0</v>
      </c>
      <c r="J30" s="38" t="n">
        <f aca="false">SUMPRODUCT($C$20:$I$20,LEN($O$46:$U$46))+SUMIFS('Vols additionnels'!$E$7:$E$66,'Vols additionnels'!$C$7:$C$66,$B30,'Vols additionnels'!$D$7:$D$66,"77W",'Vols additionnels'!$B$7:$B$66,"&gt;="&amp;$O$4,'Vols additionnels'!$B$7:$B$66,"&lt;="&amp;$O$5)</f>
        <v>0</v>
      </c>
      <c r="K30" s="38" t="n">
        <f aca="false">SUMPRODUCT($C$20:$I$20,LEN($O$47:$U$47))+SUMIFS('Vols additionnels'!$E$7:$E$66,'Vols additionnels'!$C$7:$C$66,$B30,'Vols additionnels'!$D$7:$D$66,"787",'Vols additionnels'!$B$7:$B$66,"&gt;="&amp;$O$4,'Vols additionnels'!$B$7:$B$66,"&lt;="&amp;$O$5)</f>
        <v>0</v>
      </c>
      <c r="L30" s="38" t="n">
        <f aca="false">SUMPRODUCT($C$20:$I$20,LEN($O$48:$U$48))+SUMIFS('Vols additionnels'!$E$7:$E$66,'Vols additionnels'!$C$7:$C$66,$B30,'Vols additionnels'!$D$7:$D$66,"A320",'Vols additionnels'!$B$7:$B$66,"&gt;="&amp;$O$4,'Vols additionnels'!$B$7:$B$66,"&lt;="&amp;$O$5)</f>
        <v>13</v>
      </c>
      <c r="N30" s="25" t="s">
        <v>98</v>
      </c>
      <c r="O30" s="25" t="s">
        <v>65</v>
      </c>
      <c r="P30" s="25" t="s">
        <v>66</v>
      </c>
      <c r="Q30" s="25" t="s">
        <v>67</v>
      </c>
      <c r="R30" s="25" t="s">
        <v>68</v>
      </c>
      <c r="S30" s="25" t="s">
        <v>69</v>
      </c>
      <c r="T30" s="25" t="s">
        <v>70</v>
      </c>
      <c r="U30" s="25" t="s">
        <v>71</v>
      </c>
    </row>
    <row r="31" customFormat="false" ht="24" hidden="false" customHeight="true" outlineLevel="0" collapsed="false">
      <c r="B31" s="34" t="str">
        <f aca="false">$Z$10</f>
        <v>RUNTNR</v>
      </c>
      <c r="C31" s="35" t="str">
        <f aca="false">IF(E31=0,"-",SUBSTITUTE(TRIM(IF(SUMPRODUCT(LEN($O$49:$U$49))&gt;0,"77W("&amp;SUMPRODUCT(LEN($O$49:$U$49))&amp;") ","")&amp;IF(SUMPRODUCT(LEN($O$50:$U$50))&gt;0,"787("&amp;SUMPRODUCT(LEN($O$50:$U$50))&amp;") ","")&amp;IF(SUMPRODUCT(LEN($O$51:$U$51))&gt;0,"A320("&amp;SUMPRODUCT(LEN($O$51:$U$51))&amp;") ",""))," ",", "))</f>
        <v>A320(3)</v>
      </c>
      <c r="D31" s="35" t="str">
        <f aca="false">IF(E31=0,"aucune operation",SUBSTITUTE(TRIM(IF(SUMPRODUCT(LEN($O$49:$O$51))&gt;0,"J1 ","")&amp;IF(SUMPRODUCT(LEN($P$49:$P$51))&gt;0,"J2 ","")&amp;IF(SUMPRODUCT(LEN($Q$49:$Q$51))&gt;0,"J3 ","")&amp;IF(SUMPRODUCT(LEN($R$49:$R$51))&gt;0,"J4 ","")&amp;IF(SUMPRODUCT(LEN($S$49:$S$51))&gt;0,"J5 ","")&amp;IF(SUMPRODUCT(LEN($T$49:$T$51))&gt;0,"J6 ","")&amp;IF(SUMPRODUCT(LEN($U$49:$U$51))&gt;0,"J7 ",""))," ",", "))</f>
        <v>J2, J4, J6</v>
      </c>
      <c r="E31" s="36" t="n">
        <f aca="false">SUMPRODUCT(LEN($O$49:$U$49))+SUMPRODUCT(LEN($O$50:$U$50))+SUMPRODUCT(LEN($O$51:$U$51))</f>
        <v>3</v>
      </c>
      <c r="F31" s="36" t="n">
        <f aca="false">$C$21</f>
        <v>5</v>
      </c>
      <c r="G31" s="37" t="n">
        <f aca="false">H31+I31</f>
        <v>13</v>
      </c>
      <c r="H31" s="36" t="n">
        <f aca="false">SUMPRODUCT($C$20:$I$20,LEN($O$49:$U$49))+SUMPRODUCT($C$20:$I$20,LEN($O$50:$U$50))+SUMPRODUCT($C$20:$I$20,LEN($O$51:$U$51))</f>
        <v>13</v>
      </c>
      <c r="I31" s="36" t="n">
        <f aca="false">SUMIFS('Vols additionnels'!$E$7:$E$66,'Vols additionnels'!$C$7:$C$66,$B31,'Vols additionnels'!$B$7:$B$66,"&gt;="&amp;$O$4,'Vols additionnels'!$B$7:$B$66,"&lt;="&amp;$O$5)</f>
        <v>0</v>
      </c>
      <c r="J31" s="38" t="n">
        <f aca="false">SUMPRODUCT($C$20:$I$20,LEN($O$49:$U$49))+SUMIFS('Vols additionnels'!$E$7:$E$66,'Vols additionnels'!$C$7:$C$66,$B31,'Vols additionnels'!$D$7:$D$66,"77W",'Vols additionnels'!$B$7:$B$66,"&gt;="&amp;$O$4,'Vols additionnels'!$B$7:$B$66,"&lt;="&amp;$O$5)</f>
        <v>0</v>
      </c>
      <c r="K31" s="38" t="n">
        <f aca="false">SUMPRODUCT($C$20:$I$20,LEN($O$50:$U$50))+SUMIFS('Vols additionnels'!$E$7:$E$66,'Vols additionnels'!$C$7:$C$66,$B31,'Vols additionnels'!$D$7:$D$66,"787",'Vols additionnels'!$B$7:$B$66,"&gt;="&amp;$O$4,'Vols additionnels'!$B$7:$B$66,"&lt;="&amp;$O$5)</f>
        <v>0</v>
      </c>
      <c r="L31" s="38" t="n">
        <f aca="false">SUMPRODUCT($C$20:$I$20,LEN($O$51:$U$51))+SUMIFS('Vols additionnels'!$E$7:$E$66,'Vols additionnels'!$C$7:$C$66,$B31,'Vols additionnels'!$D$7:$D$66,"A320",'Vols additionnels'!$B$7:$B$66,"&gt;="&amp;$O$4,'Vols additionnels'!$B$7:$B$66,"&lt;="&amp;$O$5)</f>
        <v>13</v>
      </c>
      <c r="N31" s="10" t="s">
        <v>99</v>
      </c>
      <c r="O31" s="12" t="str">
        <f aca="false">IFERROR(INDEX('Saisie programme'!$D$13:$J$477,($O$7-1)*39+1,1)&amp;"","")</f>
        <v>1</v>
      </c>
      <c r="P31" s="12" t="str">
        <f aca="false">IFERROR(INDEX('Saisie programme'!$D$13:$J$477,($O$7-1)*39+1,2)&amp;"","")</f>
        <v>1</v>
      </c>
      <c r="Q31" s="12" t="str">
        <f aca="false">IFERROR(INDEX('Saisie programme'!$D$13:$J$477,($O$7-1)*39+1,3)&amp;"","")</f>
        <v>1</v>
      </c>
      <c r="R31" s="12" t="str">
        <f aca="false">IFERROR(INDEX('Saisie programme'!$D$13:$J$477,($O$7-1)*39+1,4)&amp;"","")</f>
        <v>1</v>
      </c>
      <c r="S31" s="12" t="str">
        <f aca="false">IFERROR(INDEX('Saisie programme'!$D$13:$J$477,($O$7-1)*39+1,5)&amp;"","")</f>
        <v>1</v>
      </c>
      <c r="T31" s="12" t="str">
        <f aca="false">IFERROR(INDEX('Saisie programme'!$D$13:$J$477,($O$7-1)*39+1,6)&amp;"","")</f>
        <v>1</v>
      </c>
      <c r="U31" s="12" t="str">
        <f aca="false">IFERROR(INDEX('Saisie programme'!$D$13:$J$477,($O$7-1)*39+1,7)&amp;"","")</f>
        <v>1</v>
      </c>
    </row>
    <row r="32" customFormat="false" ht="24" hidden="false" customHeight="true" outlineLevel="0" collapsed="false">
      <c r="B32" s="34" t="str">
        <f aca="false">$Z$11</f>
        <v>JNBRUN</v>
      </c>
      <c r="C32" s="35" t="str">
        <f aca="false">IF(E32=0,"-",SUBSTITUTE(TRIM(IF(SUMPRODUCT(LEN($O$52:$U$52))&gt;0,"77W("&amp;SUMPRODUCT(LEN($O$52:$U$52))&amp;") ","")&amp;IF(SUMPRODUCT(LEN($O$53:$U$53))&gt;0,"787("&amp;SUMPRODUCT(LEN($O$53:$U$53))&amp;") ","")&amp;IF(SUMPRODUCT(LEN($O$54:$U$54))&gt;0,"A320("&amp;SUMPRODUCT(LEN($O$54:$U$54))&amp;") ",""))," ",", "))</f>
        <v>787(2)</v>
      </c>
      <c r="D32" s="35" t="str">
        <f aca="false">IF(E32=0,"aucune operation",SUBSTITUTE(TRIM(IF(SUMPRODUCT(LEN($O$52:$O$54))&gt;0,"J1 ","")&amp;IF(SUMPRODUCT(LEN($P$52:$P$54))&gt;0,"J2 ","")&amp;IF(SUMPRODUCT(LEN($Q$52:$Q$54))&gt;0,"J3 ","")&amp;IF(SUMPRODUCT(LEN($R$52:$R$54))&gt;0,"J4 ","")&amp;IF(SUMPRODUCT(LEN($S$52:$S$54))&gt;0,"J5 ","")&amp;IF(SUMPRODUCT(LEN($T$52:$T$54))&gt;0,"J6 ","")&amp;IF(SUMPRODUCT(LEN($U$52:$U$54))&gt;0,"J7 ",""))," ",", "))</f>
        <v>J1, J5</v>
      </c>
      <c r="E32" s="36" t="n">
        <f aca="false">SUMPRODUCT(LEN($O$52:$U$52))+SUMPRODUCT(LEN($O$53:$U$53))+SUMPRODUCT(LEN($O$54:$U$54))</f>
        <v>2</v>
      </c>
      <c r="F32" s="36" t="n">
        <f aca="false">$C$21</f>
        <v>5</v>
      </c>
      <c r="G32" s="37" t="n">
        <f aca="false">H32+I32</f>
        <v>9</v>
      </c>
      <c r="H32" s="36" t="n">
        <f aca="false">SUMPRODUCT($C$20:$I$20,LEN($O$52:$U$52))+SUMPRODUCT($C$20:$I$20,LEN($O$53:$U$53))+SUMPRODUCT($C$20:$I$20,LEN($O$54:$U$54))</f>
        <v>9</v>
      </c>
      <c r="I32" s="36" t="n">
        <f aca="false">SUMIFS('Vols additionnels'!$E$7:$E$66,'Vols additionnels'!$C$7:$C$66,$B32,'Vols additionnels'!$B$7:$B$66,"&gt;="&amp;$O$4,'Vols additionnels'!$B$7:$B$66,"&lt;="&amp;$O$5)</f>
        <v>0</v>
      </c>
      <c r="J32" s="38" t="n">
        <f aca="false">SUMPRODUCT($C$20:$I$20,LEN($O$52:$U$52))+SUMIFS('Vols additionnels'!$E$7:$E$66,'Vols additionnels'!$C$7:$C$66,$B32,'Vols additionnels'!$D$7:$D$66,"77W",'Vols additionnels'!$B$7:$B$66,"&gt;="&amp;$O$4,'Vols additionnels'!$B$7:$B$66,"&lt;="&amp;$O$5)</f>
        <v>0</v>
      </c>
      <c r="K32" s="38" t="n">
        <f aca="false">SUMPRODUCT($C$20:$I$20,LEN($O$53:$U$53))+SUMIFS('Vols additionnels'!$E$7:$E$66,'Vols additionnels'!$C$7:$C$66,$B32,'Vols additionnels'!$D$7:$D$66,"787",'Vols additionnels'!$B$7:$B$66,"&gt;="&amp;$O$4,'Vols additionnels'!$B$7:$B$66,"&lt;="&amp;$O$5)</f>
        <v>9</v>
      </c>
      <c r="L32" s="38" t="n">
        <f aca="false">SUMPRODUCT($C$20:$I$20,LEN($O$54:$U$54))+SUMIFS('Vols additionnels'!$E$7:$E$66,'Vols additionnels'!$C$7:$C$66,$B32,'Vols additionnels'!$D$7:$D$66,"A320",'Vols additionnels'!$B$7:$B$66,"&gt;="&amp;$O$4,'Vols additionnels'!$B$7:$B$66,"&lt;="&amp;$O$5)</f>
        <v>0</v>
      </c>
      <c r="N32" s="10" t="s">
        <v>100</v>
      </c>
      <c r="O32" s="12" t="str">
        <f aca="false">IFERROR(INDEX('Saisie programme'!$D$13:$J$477,($O$7-1)*39+2,1)&amp;"","")</f>
        <v>1</v>
      </c>
      <c r="P32" s="12" t="str">
        <f aca="false">IFERROR(INDEX('Saisie programme'!$D$13:$J$477,($O$7-1)*39+2,2)&amp;"","")</f>
        <v/>
      </c>
      <c r="Q32" s="12" t="str">
        <f aca="false">IFERROR(INDEX('Saisie programme'!$D$13:$J$477,($O$7-1)*39+2,3)&amp;"","")</f>
        <v/>
      </c>
      <c r="R32" s="12" t="str">
        <f aca="false">IFERROR(INDEX('Saisie programme'!$D$13:$J$477,($O$7-1)*39+2,4)&amp;"","")</f>
        <v/>
      </c>
      <c r="S32" s="12" t="str">
        <f aca="false">IFERROR(INDEX('Saisie programme'!$D$13:$J$477,($O$7-1)*39+2,5)&amp;"","")</f>
        <v>1</v>
      </c>
      <c r="T32" s="12" t="str">
        <f aca="false">IFERROR(INDEX('Saisie programme'!$D$13:$J$477,($O$7-1)*39+2,6)&amp;"","")</f>
        <v/>
      </c>
      <c r="U32" s="12" t="str">
        <f aca="false">IFERROR(INDEX('Saisie programme'!$D$13:$J$477,($O$7-1)*39+2,7)&amp;"","")</f>
        <v/>
      </c>
    </row>
    <row r="33" customFormat="false" ht="24" hidden="false" customHeight="true" outlineLevel="0" collapsed="false">
      <c r="B33" s="34" t="str">
        <f aca="false">$Z$12</f>
        <v>CPTRUN</v>
      </c>
      <c r="C33" s="35" t="str">
        <f aca="false">IF(E33=0,"-",SUBSTITUTE(TRIM(IF(SUMPRODUCT(LEN($O$55:$U$55))&gt;0,"77W("&amp;SUMPRODUCT(LEN($O$55:$U$55))&amp;") ","")&amp;IF(SUMPRODUCT(LEN($O$56:$U$56))&gt;0,"787("&amp;SUMPRODUCT(LEN($O$56:$U$56))&amp;") ","")&amp;IF(SUMPRODUCT(LEN($O$57:$U$57))&gt;0,"A320("&amp;SUMPRODUCT(LEN($O$57:$U$57))&amp;") ",""))," ",", "))</f>
        <v>787(1)</v>
      </c>
      <c r="D33" s="35" t="str">
        <f aca="false">IF(E33=0,"aucune operation",SUBSTITUTE(TRIM(IF(SUMPRODUCT(LEN($O$55:$O$57))&gt;0,"J1 ","")&amp;IF(SUMPRODUCT(LEN($P$55:$P$57))&gt;0,"J2 ","")&amp;IF(SUMPRODUCT(LEN($Q$55:$Q$57))&gt;0,"J3 ","")&amp;IF(SUMPRODUCT(LEN($R$55:$R$57))&gt;0,"J4 ","")&amp;IF(SUMPRODUCT(LEN($S$55:$S$57))&gt;0,"J5 ","")&amp;IF(SUMPRODUCT(LEN($T$55:$T$57))&gt;0,"J6 ","")&amp;IF(SUMPRODUCT(LEN($U$55:$U$57))&gt;0,"J7 ",""))," ",", "))</f>
        <v>J4</v>
      </c>
      <c r="E33" s="36" t="n">
        <f aca="false">SUMPRODUCT(LEN($O$55:$U$55))+SUMPRODUCT(LEN($O$56:$U$56))+SUMPRODUCT(LEN($O$57:$U$57))</f>
        <v>1</v>
      </c>
      <c r="F33" s="36" t="n">
        <f aca="false">$C$21</f>
        <v>5</v>
      </c>
      <c r="G33" s="37" t="n">
        <f aca="false">H33+I33</f>
        <v>5</v>
      </c>
      <c r="H33" s="36" t="n">
        <f aca="false">SUMPRODUCT($C$20:$I$20,LEN($O$55:$U$55))+SUMPRODUCT($C$20:$I$20,LEN($O$56:$U$56))+SUMPRODUCT($C$20:$I$20,LEN($O$57:$U$57))</f>
        <v>5</v>
      </c>
      <c r="I33" s="36" t="n">
        <f aca="false">SUMIFS('Vols additionnels'!$E$7:$E$66,'Vols additionnels'!$C$7:$C$66,$B33,'Vols additionnels'!$B$7:$B$66,"&gt;="&amp;$O$4,'Vols additionnels'!$B$7:$B$66,"&lt;="&amp;$O$5)</f>
        <v>0</v>
      </c>
      <c r="J33" s="38" t="n">
        <f aca="false">SUMPRODUCT($C$20:$I$20,LEN($O$55:$U$55))+SUMIFS('Vols additionnels'!$E$7:$E$66,'Vols additionnels'!$C$7:$C$66,$B33,'Vols additionnels'!$D$7:$D$66,"77W",'Vols additionnels'!$B$7:$B$66,"&gt;="&amp;$O$4,'Vols additionnels'!$B$7:$B$66,"&lt;="&amp;$O$5)</f>
        <v>0</v>
      </c>
      <c r="K33" s="38" t="n">
        <f aca="false">SUMPRODUCT($C$20:$I$20,LEN($O$56:$U$56))+SUMIFS('Vols additionnels'!$E$7:$E$66,'Vols additionnels'!$C$7:$C$66,$B33,'Vols additionnels'!$D$7:$D$66,"787",'Vols additionnels'!$B$7:$B$66,"&gt;="&amp;$O$4,'Vols additionnels'!$B$7:$B$66,"&lt;="&amp;$O$5)</f>
        <v>5</v>
      </c>
      <c r="L33" s="38" t="n">
        <f aca="false">SUMPRODUCT($C$20:$I$20,LEN($O$57:$U$57))+SUMIFS('Vols additionnels'!$E$7:$E$66,'Vols additionnels'!$C$7:$C$66,$B33,'Vols additionnels'!$D$7:$D$66,"A320",'Vols additionnels'!$B$7:$B$66,"&gt;="&amp;$O$4,'Vols additionnels'!$B$7:$B$66,"&lt;="&amp;$O$5)</f>
        <v>0</v>
      </c>
      <c r="N33" s="10" t="s">
        <v>101</v>
      </c>
      <c r="O33" s="12" t="str">
        <f aca="false">IFERROR(INDEX('Saisie programme'!$D$13:$J$477,($O$7-1)*39+3,1)&amp;"","")</f>
        <v>01</v>
      </c>
      <c r="P33" s="12" t="str">
        <f aca="false">IFERROR(INDEX('Saisie programme'!$D$13:$J$477,($O$7-1)*39+3,2)&amp;"","")</f>
        <v/>
      </c>
      <c r="Q33" s="12" t="str">
        <f aca="false">IFERROR(INDEX('Saisie programme'!$D$13:$J$477,($O$7-1)*39+3,3)&amp;"","")</f>
        <v/>
      </c>
      <c r="R33" s="12" t="str">
        <f aca="false">IFERROR(INDEX('Saisie programme'!$D$13:$J$477,($O$7-1)*39+3,4)&amp;"","")</f>
        <v/>
      </c>
      <c r="S33" s="12" t="str">
        <f aca="false">IFERROR(INDEX('Saisie programme'!$D$13:$J$477,($O$7-1)*39+3,5)&amp;"","")</f>
        <v/>
      </c>
      <c r="T33" s="12" t="str">
        <f aca="false">IFERROR(INDEX('Saisie programme'!$D$13:$J$477,($O$7-1)*39+3,6)&amp;"","")</f>
        <v/>
      </c>
      <c r="U33" s="12" t="str">
        <f aca="false">IFERROR(INDEX('Saisie programme'!$D$13:$J$477,($O$7-1)*39+3,7)&amp;"","")</f>
        <v/>
      </c>
    </row>
    <row r="34" customFormat="false" ht="24" hidden="false" customHeight="true" outlineLevel="0" collapsed="false">
      <c r="B34" s="34" t="str">
        <f aca="false">$Z$13</f>
        <v>DIERUN</v>
      </c>
      <c r="C34" s="35" t="str">
        <f aca="false">IF(E34=0,"-",SUBSTITUTE(TRIM(IF(SUMPRODUCT(LEN($O$58:$U$58))&gt;0,"77W("&amp;SUMPRODUCT(LEN($O$58:$U$58))&amp;") ","")&amp;IF(SUMPRODUCT(LEN($O$59:$U$59))&gt;0,"787("&amp;SUMPRODUCT(LEN($O$59:$U$59))&amp;") ","")&amp;IF(SUMPRODUCT(LEN($O$60:$U$60))&gt;0,"A320("&amp;SUMPRODUCT(LEN($O$60:$U$60))&amp;") ",""))," ",", "))</f>
        <v>A320(2)</v>
      </c>
      <c r="D34" s="35" t="str">
        <f aca="false">IF(E34=0,"aucune operation",SUBSTITUTE(TRIM(IF(SUMPRODUCT(LEN($O$58:$O$60))&gt;0,"J1 ","")&amp;IF(SUMPRODUCT(LEN($P$58:$P$60))&gt;0,"J2 ","")&amp;IF(SUMPRODUCT(LEN($Q$58:$Q$60))&gt;0,"J3 ","")&amp;IF(SUMPRODUCT(LEN($R$58:$R$60))&gt;0,"J4 ","")&amp;IF(SUMPRODUCT(LEN($S$58:$S$60))&gt;0,"J5 ","")&amp;IF(SUMPRODUCT(LEN($T$58:$T$60))&gt;0,"J6 ","")&amp;IF(SUMPRODUCT(LEN($U$58:$U$60))&gt;0,"J7 ",""))," ",", "))</f>
        <v>J2, J6</v>
      </c>
      <c r="E34" s="36" t="n">
        <f aca="false">SUMPRODUCT(LEN($O$58:$U$58))+SUMPRODUCT(LEN($O$59:$U$59))+SUMPRODUCT(LEN($O$60:$U$60))</f>
        <v>2</v>
      </c>
      <c r="F34" s="36" t="n">
        <f aca="false">$C$21</f>
        <v>5</v>
      </c>
      <c r="G34" s="37" t="n">
        <f aca="false">H34+I34</f>
        <v>8</v>
      </c>
      <c r="H34" s="36" t="n">
        <f aca="false">SUMPRODUCT($C$20:$I$20,LEN($O$58:$U$58))+SUMPRODUCT($C$20:$I$20,LEN($O$59:$U$59))+SUMPRODUCT($C$20:$I$20,LEN($O$60:$U$60))</f>
        <v>8</v>
      </c>
      <c r="I34" s="36" t="n">
        <f aca="false">SUMIFS('Vols additionnels'!$E$7:$E$66,'Vols additionnels'!$C$7:$C$66,$B34,'Vols additionnels'!$B$7:$B$66,"&gt;="&amp;$O$4,'Vols additionnels'!$B$7:$B$66,"&lt;="&amp;$O$5)</f>
        <v>0</v>
      </c>
      <c r="J34" s="38" t="n">
        <f aca="false">SUMPRODUCT($C$20:$I$20,LEN($O$58:$U$58))+SUMIFS('Vols additionnels'!$E$7:$E$66,'Vols additionnels'!$C$7:$C$66,$B34,'Vols additionnels'!$D$7:$D$66,"77W",'Vols additionnels'!$B$7:$B$66,"&gt;="&amp;$O$4,'Vols additionnels'!$B$7:$B$66,"&lt;="&amp;$O$5)</f>
        <v>0</v>
      </c>
      <c r="K34" s="38" t="n">
        <f aca="false">SUMPRODUCT($C$20:$I$20,LEN($O$59:$U$59))+SUMIFS('Vols additionnels'!$E$7:$E$66,'Vols additionnels'!$C$7:$C$66,$B34,'Vols additionnels'!$D$7:$D$66,"787",'Vols additionnels'!$B$7:$B$66,"&gt;="&amp;$O$4,'Vols additionnels'!$B$7:$B$66,"&lt;="&amp;$O$5)</f>
        <v>0</v>
      </c>
      <c r="L34" s="38" t="n">
        <f aca="false">SUMPRODUCT($C$20:$I$20,LEN($O$60:$U$60))+SUMIFS('Vols additionnels'!$E$7:$E$66,'Vols additionnels'!$C$7:$C$66,$B34,'Vols additionnels'!$D$7:$D$66,"A320",'Vols additionnels'!$B$7:$B$66,"&gt;="&amp;$O$4,'Vols additionnels'!$B$7:$B$66,"&lt;="&amp;$O$5)</f>
        <v>8</v>
      </c>
      <c r="N34" s="10" t="s">
        <v>102</v>
      </c>
      <c r="O34" s="12" t="str">
        <f aca="false">IFERROR(INDEX('Saisie programme'!$D$13:$J$477,($O$7-1)*39+4,1)&amp;"","")</f>
        <v/>
      </c>
      <c r="P34" s="12" t="str">
        <f aca="false">IFERROR(INDEX('Saisie programme'!$D$13:$J$477,($O$7-1)*39+4,2)&amp;"","")</f>
        <v/>
      </c>
      <c r="Q34" s="12" t="str">
        <f aca="false">IFERROR(INDEX('Saisie programme'!$D$13:$J$477,($O$7-1)*39+4,3)&amp;"","")</f>
        <v/>
      </c>
      <c r="R34" s="12" t="str">
        <f aca="false">IFERROR(INDEX('Saisie programme'!$D$13:$J$477,($O$7-1)*39+4,4)&amp;"","")</f>
        <v/>
      </c>
      <c r="S34" s="12" t="str">
        <f aca="false">IFERROR(INDEX('Saisie programme'!$D$13:$J$477,($O$7-1)*39+4,5)&amp;"","")</f>
        <v/>
      </c>
      <c r="T34" s="12" t="str">
        <f aca="false">IFERROR(INDEX('Saisie programme'!$D$13:$J$477,($O$7-1)*39+4,6)&amp;"","")</f>
        <v/>
      </c>
      <c r="U34" s="12" t="str">
        <f aca="false">IFERROR(INDEX('Saisie programme'!$D$13:$J$477,($O$7-1)*39+4,7)&amp;"","")</f>
        <v>1</v>
      </c>
    </row>
    <row r="35" customFormat="false" ht="24" hidden="false" customHeight="true" outlineLevel="0" collapsed="false">
      <c r="B35" s="34" t="str">
        <f aca="false">$Z$14</f>
        <v>RRGRUN</v>
      </c>
      <c r="C35" s="35" t="str">
        <f aca="false">IF(E35=0,"-",SUBSTITUTE(TRIM(IF(SUMPRODUCT(LEN($O$61:$U$61))&gt;0,"77W("&amp;SUMPRODUCT(LEN($O$61:$U$61))&amp;") ","")&amp;IF(SUMPRODUCT(LEN($O$62:$U$62))&gt;0,"787("&amp;SUMPRODUCT(LEN($O$62:$U$62))&amp;") ","")&amp;IF(SUMPRODUCT(LEN($O$63:$U$63))&gt;0,"A320("&amp;SUMPRODUCT(LEN($O$63:$U$63))&amp;") ",""))," ",", "))</f>
        <v>A320(7)</v>
      </c>
      <c r="D35" s="35" t="str">
        <f aca="false">IF(E35=0,"aucune operation",SUBSTITUTE(TRIM(IF(SUMPRODUCT(LEN($O$61:$O$63))&gt;0,"J1 ","")&amp;IF(SUMPRODUCT(LEN($P$61:$P$63))&gt;0,"J2 ","")&amp;IF(SUMPRODUCT(LEN($Q$61:$Q$63))&gt;0,"J3 ","")&amp;IF(SUMPRODUCT(LEN($R$61:$R$63))&gt;0,"J4 ","")&amp;IF(SUMPRODUCT(LEN($S$61:$S$63))&gt;0,"J5 ","")&amp;IF(SUMPRODUCT(LEN($T$61:$T$63))&gt;0,"J6 ","")&amp;IF(SUMPRODUCT(LEN($U$61:$U$63))&gt;0,"J7 ",""))," ",", "))</f>
        <v>J1, J2, J3, J4, J5, J6</v>
      </c>
      <c r="E35" s="36" t="n">
        <f aca="false">SUMPRODUCT(LEN($O$61:$U$61))+SUMPRODUCT(LEN($O$62:$U$62))+SUMPRODUCT(LEN($O$63:$U$63))</f>
        <v>7</v>
      </c>
      <c r="F35" s="36" t="n">
        <f aca="false">$C$21</f>
        <v>5</v>
      </c>
      <c r="G35" s="37" t="n">
        <f aca="false">H35+I35</f>
        <v>31</v>
      </c>
      <c r="H35" s="36" t="n">
        <f aca="false">SUMPRODUCT($C$20:$I$20,LEN($O$61:$U$61))+SUMPRODUCT($C$20:$I$20,LEN($O$62:$U$62))+SUMPRODUCT($C$20:$I$20,LEN($O$63:$U$63))</f>
        <v>31</v>
      </c>
      <c r="I35" s="36" t="n">
        <f aca="false">SUMIFS('Vols additionnels'!$E$7:$E$66,'Vols additionnels'!$C$7:$C$66,$B35,'Vols additionnels'!$B$7:$B$66,"&gt;="&amp;$O$4,'Vols additionnels'!$B$7:$B$66,"&lt;="&amp;$O$5)</f>
        <v>0</v>
      </c>
      <c r="J35" s="38" t="n">
        <f aca="false">SUMPRODUCT($C$20:$I$20,LEN($O$61:$U$61))+SUMIFS('Vols additionnels'!$E$7:$E$66,'Vols additionnels'!$C$7:$C$66,$B35,'Vols additionnels'!$D$7:$D$66,"77W",'Vols additionnels'!$B$7:$B$66,"&gt;="&amp;$O$4,'Vols additionnels'!$B$7:$B$66,"&lt;="&amp;$O$5)</f>
        <v>0</v>
      </c>
      <c r="K35" s="38" t="n">
        <f aca="false">SUMPRODUCT($C$20:$I$20,LEN($O$62:$U$62))+SUMIFS('Vols additionnels'!$E$7:$E$66,'Vols additionnels'!$C$7:$C$66,$B35,'Vols additionnels'!$D$7:$D$66,"787",'Vols additionnels'!$B$7:$B$66,"&gt;="&amp;$O$4,'Vols additionnels'!$B$7:$B$66,"&lt;="&amp;$O$5)</f>
        <v>0</v>
      </c>
      <c r="L35" s="38" t="n">
        <f aca="false">SUMPRODUCT($C$20:$I$20,LEN($O$63:$U$63))+SUMIFS('Vols additionnels'!$E$7:$E$66,'Vols additionnels'!$C$7:$C$66,$B35,'Vols additionnels'!$D$7:$D$66,"A320",'Vols additionnels'!$B$7:$B$66,"&gt;="&amp;$O$4,'Vols additionnels'!$B$7:$B$66,"&lt;="&amp;$O$5)</f>
        <v>31</v>
      </c>
      <c r="N35" s="10" t="s">
        <v>103</v>
      </c>
      <c r="O35" s="12" t="str">
        <f aca="false">IFERROR(INDEX('Saisie programme'!$D$13:$J$477,($O$7-1)*39+5,1)&amp;"","")</f>
        <v/>
      </c>
      <c r="P35" s="12" t="str">
        <f aca="false">IFERROR(INDEX('Saisie programme'!$D$13:$J$477,($O$7-1)*39+5,2)&amp;"","")</f>
        <v>1</v>
      </c>
      <c r="Q35" s="12" t="str">
        <f aca="false">IFERROR(INDEX('Saisie programme'!$D$13:$J$477,($O$7-1)*39+5,3)&amp;"","")</f>
        <v/>
      </c>
      <c r="R35" s="12" t="str">
        <f aca="false">IFERROR(INDEX('Saisie programme'!$D$13:$J$477,($O$7-1)*39+5,4)&amp;"","")</f>
        <v/>
      </c>
      <c r="S35" s="12" t="str">
        <f aca="false">IFERROR(INDEX('Saisie programme'!$D$13:$J$477,($O$7-1)*39+5,5)&amp;"","")</f>
        <v>1</v>
      </c>
      <c r="T35" s="12" t="str">
        <f aca="false">IFERROR(INDEX('Saisie programme'!$D$13:$J$477,($O$7-1)*39+5,6)&amp;"","")</f>
        <v/>
      </c>
      <c r="U35" s="12" t="str">
        <f aca="false">IFERROR(INDEX('Saisie programme'!$D$13:$J$477,($O$7-1)*39+5,7)&amp;"","")</f>
        <v/>
      </c>
    </row>
    <row r="36" customFormat="false" ht="24" hidden="false" customHeight="true" outlineLevel="0" collapsed="false">
      <c r="B36" s="34" t="str">
        <f aca="false">$Z$15</f>
        <v>TMMRUN</v>
      </c>
      <c r="C36" s="35" t="str">
        <f aca="false">IF(E36=0,"-",SUBSTITUTE(TRIM(IF(SUMPRODUCT(LEN($O$64:$U$64))&gt;0,"77W("&amp;SUMPRODUCT(LEN($O$64:$U$64))&amp;") ","")&amp;IF(SUMPRODUCT(LEN($O$65:$U$65))&gt;0,"787("&amp;SUMPRODUCT(LEN($O$65:$U$65))&amp;") ","")&amp;IF(SUMPRODUCT(LEN($O$66:$U$66))&gt;0,"A320("&amp;SUMPRODUCT(LEN($O$66:$U$66))&amp;") ",""))," ",", "))</f>
        <v>A320(2)</v>
      </c>
      <c r="D36" s="35" t="str">
        <f aca="false">IF(E36=0,"aucune operation",SUBSTITUTE(TRIM(IF(SUMPRODUCT(LEN($O$64:$O$66))&gt;0,"J1 ","")&amp;IF(SUMPRODUCT(LEN($P$64:$P$66))&gt;0,"J2 ","")&amp;IF(SUMPRODUCT(LEN($Q$64:$Q$66))&gt;0,"J3 ","")&amp;IF(SUMPRODUCT(LEN($R$64:$R$66))&gt;0,"J4 ","")&amp;IF(SUMPRODUCT(LEN($S$64:$S$66))&gt;0,"J5 ","")&amp;IF(SUMPRODUCT(LEN($T$64:$T$66))&gt;0,"J6 ","")&amp;IF(SUMPRODUCT(LEN($U$64:$U$66))&gt;0,"J7 ",""))," ",", "))</f>
        <v>J3, J7</v>
      </c>
      <c r="E36" s="36" t="n">
        <f aca="false">SUMPRODUCT(LEN($O$64:$U$64))+SUMPRODUCT(LEN($O$65:$U$65))+SUMPRODUCT(LEN($O$66:$U$66))</f>
        <v>2</v>
      </c>
      <c r="F36" s="36" t="n">
        <f aca="false">$C$21</f>
        <v>5</v>
      </c>
      <c r="G36" s="37" t="n">
        <f aca="false">H36+I36</f>
        <v>8</v>
      </c>
      <c r="H36" s="36" t="n">
        <f aca="false">SUMPRODUCT($C$20:$I$20,LEN($O$64:$U$64))+SUMPRODUCT($C$20:$I$20,LEN($O$65:$U$65))+SUMPRODUCT($C$20:$I$20,LEN($O$66:$U$66))</f>
        <v>8</v>
      </c>
      <c r="I36" s="36" t="n">
        <f aca="false">SUMIFS('Vols additionnels'!$E$7:$E$66,'Vols additionnels'!$C$7:$C$66,$B36,'Vols additionnels'!$B$7:$B$66,"&gt;="&amp;$O$4,'Vols additionnels'!$B$7:$B$66,"&lt;="&amp;$O$5)</f>
        <v>0</v>
      </c>
      <c r="J36" s="38" t="n">
        <f aca="false">SUMPRODUCT($C$20:$I$20,LEN($O$64:$U$64))+SUMIFS('Vols additionnels'!$E$7:$E$66,'Vols additionnels'!$C$7:$C$66,$B36,'Vols additionnels'!$D$7:$D$66,"77W",'Vols additionnels'!$B$7:$B$66,"&gt;="&amp;$O$4,'Vols additionnels'!$B$7:$B$66,"&lt;="&amp;$O$5)</f>
        <v>0</v>
      </c>
      <c r="K36" s="38" t="n">
        <f aca="false">SUMPRODUCT($C$20:$I$20,LEN($O$65:$U$65))+SUMIFS('Vols additionnels'!$E$7:$E$66,'Vols additionnels'!$C$7:$C$66,$B36,'Vols additionnels'!$D$7:$D$66,"787",'Vols additionnels'!$B$7:$B$66,"&gt;="&amp;$O$4,'Vols additionnels'!$B$7:$B$66,"&lt;="&amp;$O$5)</f>
        <v>0</v>
      </c>
      <c r="L36" s="38" t="n">
        <f aca="false">SUMPRODUCT($C$20:$I$20,LEN($O$66:$U$66))+SUMIFS('Vols additionnels'!$E$7:$E$66,'Vols additionnels'!$C$7:$C$66,$B36,'Vols additionnels'!$D$7:$D$66,"A320",'Vols additionnels'!$B$7:$B$66,"&gt;="&amp;$O$4,'Vols additionnels'!$B$7:$B$66,"&lt;="&amp;$O$5)</f>
        <v>8</v>
      </c>
      <c r="N36" s="10" t="s">
        <v>104</v>
      </c>
      <c r="O36" s="12" t="str">
        <f aca="false">IFERROR(INDEX('Saisie programme'!$D$13:$J$477,($O$7-1)*39+6,1)&amp;"","")</f>
        <v/>
      </c>
      <c r="P36" s="12" t="str">
        <f aca="false">IFERROR(INDEX('Saisie programme'!$D$13:$J$477,($O$7-1)*39+6,2)&amp;"","")</f>
        <v/>
      </c>
      <c r="Q36" s="12" t="str">
        <f aca="false">IFERROR(INDEX('Saisie programme'!$D$13:$J$477,($O$7-1)*39+6,3)&amp;"","")</f>
        <v/>
      </c>
      <c r="R36" s="12" t="str">
        <f aca="false">IFERROR(INDEX('Saisie programme'!$D$13:$J$477,($O$7-1)*39+6,4)&amp;"","")</f>
        <v/>
      </c>
      <c r="S36" s="12" t="str">
        <f aca="false">IFERROR(INDEX('Saisie programme'!$D$13:$J$477,($O$7-1)*39+6,5)&amp;"","")</f>
        <v/>
      </c>
      <c r="T36" s="12" t="str">
        <f aca="false">IFERROR(INDEX('Saisie programme'!$D$13:$J$477,($O$7-1)*39+6,6)&amp;"","")</f>
        <v/>
      </c>
      <c r="U36" s="12" t="str">
        <f aca="false">IFERROR(INDEX('Saisie programme'!$D$13:$J$477,($O$7-1)*39+6,7)&amp;"","")</f>
        <v/>
      </c>
    </row>
    <row r="37" customFormat="false" ht="15" hidden="false" customHeight="false" outlineLevel="0" collapsed="false">
      <c r="B37" s="39" t="s">
        <v>105</v>
      </c>
      <c r="C37" s="40"/>
      <c r="D37" s="40"/>
      <c r="E37" s="41" t="n">
        <f aca="false">SUM(E25:E36)</f>
        <v>46</v>
      </c>
      <c r="F37" s="41" t="n">
        <f aca="false">$C$21</f>
        <v>5</v>
      </c>
      <c r="G37" s="42" t="n">
        <f aca="false">SUM(G25:G36)</f>
        <v>198</v>
      </c>
      <c r="H37" s="41" t="n">
        <f aca="false">SUM(H25:H36)</f>
        <v>198</v>
      </c>
      <c r="I37" s="41" t="n">
        <f aca="false">SUM(I25:I36)</f>
        <v>0</v>
      </c>
      <c r="J37" s="41" t="n">
        <f aca="false">SUM(J25:J36)</f>
        <v>34</v>
      </c>
      <c r="K37" s="41" t="n">
        <f aca="false">SUM(K25:K36)</f>
        <v>44</v>
      </c>
      <c r="L37" s="41" t="n">
        <f aca="false">SUM(L25:L36)</f>
        <v>120</v>
      </c>
      <c r="N37" s="10" t="s">
        <v>106</v>
      </c>
      <c r="O37" s="12" t="str">
        <f aca="false">IFERROR(INDEX('Saisie programme'!$D$13:$J$477,($O$7-1)*39+7,1)&amp;"","")</f>
        <v/>
      </c>
      <c r="P37" s="12" t="str">
        <f aca="false">IFERROR(INDEX('Saisie programme'!$D$13:$J$477,($O$7-1)*39+7,2)&amp;"","")</f>
        <v/>
      </c>
      <c r="Q37" s="12" t="str">
        <f aca="false">IFERROR(INDEX('Saisie programme'!$D$13:$J$477,($O$7-1)*39+7,3)&amp;"","")</f>
        <v/>
      </c>
      <c r="R37" s="12" t="str">
        <f aca="false">IFERROR(INDEX('Saisie programme'!$D$13:$J$477,($O$7-1)*39+7,4)&amp;"","")</f>
        <v/>
      </c>
      <c r="S37" s="12" t="str">
        <f aca="false">IFERROR(INDEX('Saisie programme'!$D$13:$J$477,($O$7-1)*39+7,5)&amp;"","")</f>
        <v/>
      </c>
      <c r="T37" s="12" t="str">
        <f aca="false">IFERROR(INDEX('Saisie programme'!$D$13:$J$477,($O$7-1)*39+7,6)&amp;"","")</f>
        <v/>
      </c>
      <c r="U37" s="12" t="str">
        <f aca="false">IFERROR(INDEX('Saisie programme'!$D$13:$J$477,($O$7-1)*39+7,7)&amp;"","")</f>
        <v/>
      </c>
    </row>
    <row r="38" customFormat="false" ht="15" hidden="false" customHeight="true" outlineLevel="0" collapsed="false">
      <c r="B38" s="43" t="s">
        <v>107</v>
      </c>
      <c r="C38" s="43"/>
      <c r="D38" s="43"/>
      <c r="E38" s="43"/>
      <c r="F38" s="43"/>
      <c r="G38" s="43"/>
      <c r="H38" s="43"/>
      <c r="I38" s="43"/>
      <c r="J38" s="43"/>
      <c r="K38" s="43"/>
      <c r="L38" s="43"/>
      <c r="N38" s="10" t="s">
        <v>108</v>
      </c>
      <c r="O38" s="12" t="str">
        <f aca="false">IFERROR(INDEX('Saisie programme'!$D$13:$J$477,($O$7-1)*39+8,1)&amp;"","")</f>
        <v/>
      </c>
      <c r="P38" s="12" t="str">
        <f aca="false">IFERROR(INDEX('Saisie programme'!$D$13:$J$477,($O$7-1)*39+8,2)&amp;"","")</f>
        <v/>
      </c>
      <c r="Q38" s="12" t="str">
        <f aca="false">IFERROR(INDEX('Saisie programme'!$D$13:$J$477,($O$7-1)*39+8,3)&amp;"","")</f>
        <v>1</v>
      </c>
      <c r="R38" s="12" t="str">
        <f aca="false">IFERROR(INDEX('Saisie programme'!$D$13:$J$477,($O$7-1)*39+8,4)&amp;"","")</f>
        <v/>
      </c>
      <c r="S38" s="12" t="str">
        <f aca="false">IFERROR(INDEX('Saisie programme'!$D$13:$J$477,($O$7-1)*39+8,5)&amp;"","")</f>
        <v/>
      </c>
      <c r="T38" s="12" t="str">
        <f aca="false">IFERROR(INDEX('Saisie programme'!$D$13:$J$477,($O$7-1)*39+8,6)&amp;"","")</f>
        <v>1</v>
      </c>
      <c r="U38" s="12" t="str">
        <f aca="false">IFERROR(INDEX('Saisie programme'!$D$13:$J$477,($O$7-1)*39+8,7)&amp;"","")</f>
        <v/>
      </c>
    </row>
    <row r="39" customFormat="false" ht="15" hidden="false" customHeight="false" outlineLevel="0" collapsed="false">
      <c r="B39" s="43"/>
      <c r="C39" s="43"/>
      <c r="D39" s="43"/>
      <c r="E39" s="43"/>
      <c r="F39" s="43"/>
      <c r="G39" s="43"/>
      <c r="H39" s="43"/>
      <c r="I39" s="43"/>
      <c r="J39" s="43"/>
      <c r="K39" s="43"/>
      <c r="L39" s="43"/>
      <c r="N39" s="10" t="s">
        <v>109</v>
      </c>
      <c r="O39" s="12" t="str">
        <f aca="false">IFERROR(INDEX('Saisie programme'!$D$13:$J$477,($O$7-1)*39+9,1)&amp;"","")</f>
        <v/>
      </c>
      <c r="P39" s="12" t="str">
        <f aca="false">IFERROR(INDEX('Saisie programme'!$D$13:$J$477,($O$7-1)*39+9,2)&amp;"","")</f>
        <v/>
      </c>
      <c r="Q39" s="12" t="str">
        <f aca="false">IFERROR(INDEX('Saisie programme'!$D$13:$J$477,($O$7-1)*39+9,3)&amp;"","")</f>
        <v/>
      </c>
      <c r="R39" s="12" t="str">
        <f aca="false">IFERROR(INDEX('Saisie programme'!$D$13:$J$477,($O$7-1)*39+9,4)&amp;"","")</f>
        <v/>
      </c>
      <c r="S39" s="12" t="str">
        <f aca="false">IFERROR(INDEX('Saisie programme'!$D$13:$J$477,($O$7-1)*39+9,5)&amp;"","")</f>
        <v/>
      </c>
      <c r="T39" s="12" t="str">
        <f aca="false">IFERROR(INDEX('Saisie programme'!$D$13:$J$477,($O$7-1)*39+9,6)&amp;"","")</f>
        <v/>
      </c>
      <c r="U39" s="12" t="str">
        <f aca="false">IFERROR(INDEX('Saisie programme'!$D$13:$J$477,($O$7-1)*39+9,7)&amp;"","")</f>
        <v/>
      </c>
    </row>
    <row r="40" customFormat="false" ht="15" hidden="false" customHeight="false" outlineLevel="0" collapsed="false">
      <c r="N40" s="10" t="s">
        <v>110</v>
      </c>
      <c r="O40" s="12" t="str">
        <f aca="false">IFERROR(INDEX('Saisie programme'!$D$13:$J$477,($O$7-1)*39+10,1)&amp;"","")</f>
        <v/>
      </c>
      <c r="P40" s="12" t="str">
        <f aca="false">IFERROR(INDEX('Saisie programme'!$D$13:$J$477,($O$7-1)*39+10,2)&amp;"","")</f>
        <v/>
      </c>
      <c r="Q40" s="12" t="str">
        <f aca="false">IFERROR(INDEX('Saisie programme'!$D$13:$J$477,($O$7-1)*39+10,3)&amp;"","")</f>
        <v/>
      </c>
      <c r="R40" s="12" t="str">
        <f aca="false">IFERROR(INDEX('Saisie programme'!$D$13:$J$477,($O$7-1)*39+10,4)&amp;"","")</f>
        <v/>
      </c>
      <c r="S40" s="12" t="str">
        <f aca="false">IFERROR(INDEX('Saisie programme'!$D$13:$J$477,($O$7-1)*39+10,5)&amp;"","")</f>
        <v/>
      </c>
      <c r="T40" s="12" t="str">
        <f aca="false">IFERROR(INDEX('Saisie programme'!$D$13:$J$477,($O$7-1)*39+10,6)&amp;"","")</f>
        <v/>
      </c>
      <c r="U40" s="12" t="str">
        <f aca="false">IFERROR(INDEX('Saisie programme'!$D$13:$J$477,($O$7-1)*39+10,7)&amp;"","")</f>
        <v/>
      </c>
    </row>
    <row r="41" customFormat="false" ht="15" hidden="false" customHeight="false" outlineLevel="0" collapsed="false">
      <c r="N41" s="10" t="s">
        <v>111</v>
      </c>
      <c r="O41" s="12" t="str">
        <f aca="false">IFERROR(INDEX('Saisie programme'!$D$13:$J$477,($O$7-1)*39+11,1)&amp;"","")</f>
        <v/>
      </c>
      <c r="P41" s="12" t="str">
        <f aca="false">IFERROR(INDEX('Saisie programme'!$D$13:$J$477,($O$7-1)*39+11,2)&amp;"","")</f>
        <v/>
      </c>
      <c r="Q41" s="12" t="str">
        <f aca="false">IFERROR(INDEX('Saisie programme'!$D$13:$J$477,($O$7-1)*39+11,3)&amp;"","")</f>
        <v>0</v>
      </c>
      <c r="R41" s="12" t="str">
        <f aca="false">IFERROR(INDEX('Saisie programme'!$D$13:$J$477,($O$7-1)*39+11,4)&amp;"","")</f>
        <v/>
      </c>
      <c r="S41" s="12" t="str">
        <f aca="false">IFERROR(INDEX('Saisie programme'!$D$13:$J$477,($O$7-1)*39+11,5)&amp;"","")</f>
        <v/>
      </c>
      <c r="T41" s="12" t="str">
        <f aca="false">IFERROR(INDEX('Saisie programme'!$D$13:$J$477,($O$7-1)*39+11,6)&amp;"","")</f>
        <v/>
      </c>
      <c r="U41" s="12" t="str">
        <f aca="false">IFERROR(INDEX('Saisie programme'!$D$13:$J$477,($O$7-1)*39+11,7)&amp;"","")</f>
        <v/>
      </c>
    </row>
    <row r="42" customFormat="false" ht="15" hidden="false" customHeight="false" outlineLevel="0" collapsed="false">
      <c r="N42" s="10" t="s">
        <v>112</v>
      </c>
      <c r="O42" s="12" t="str">
        <f aca="false">IFERROR(INDEX('Saisie programme'!$D$13:$J$477,($O$7-1)*39+12,1)&amp;"","")</f>
        <v>0</v>
      </c>
      <c r="P42" s="12" t="str">
        <f aca="false">IFERROR(INDEX('Saisie programme'!$D$13:$J$477,($O$7-1)*39+12,2)&amp;"","")</f>
        <v>0</v>
      </c>
      <c r="Q42" s="12" t="str">
        <f aca="false">IFERROR(INDEX('Saisie programme'!$D$13:$J$477,($O$7-1)*39+12,3)&amp;"","")</f>
        <v>0</v>
      </c>
      <c r="R42" s="12" t="str">
        <f aca="false">IFERROR(INDEX('Saisie programme'!$D$13:$J$477,($O$7-1)*39+12,4)&amp;"","")</f>
        <v>0</v>
      </c>
      <c r="S42" s="12" t="str">
        <f aca="false">IFERROR(INDEX('Saisie programme'!$D$13:$J$477,($O$7-1)*39+12,5)&amp;"","")</f>
        <v>0</v>
      </c>
      <c r="T42" s="12" t="str">
        <f aca="false">IFERROR(INDEX('Saisie programme'!$D$13:$J$477,($O$7-1)*39+12,6)&amp;"","")</f>
        <v/>
      </c>
      <c r="U42" s="12" t="str">
        <f aca="false">IFERROR(INDEX('Saisie programme'!$D$13:$J$477,($O$7-1)*39+12,7)&amp;"","")</f>
        <v/>
      </c>
    </row>
    <row r="43" customFormat="false" ht="15" hidden="false" customHeight="false" outlineLevel="0" collapsed="false">
      <c r="N43" s="10" t="s">
        <v>113</v>
      </c>
      <c r="O43" s="12" t="str">
        <f aca="false">IFERROR(INDEX('Saisie programme'!$D$13:$J$477,($O$7-1)*39+13,1)&amp;"","")</f>
        <v/>
      </c>
      <c r="P43" s="12" t="str">
        <f aca="false">IFERROR(INDEX('Saisie programme'!$D$13:$J$477,($O$7-1)*39+13,2)&amp;"","")</f>
        <v/>
      </c>
      <c r="Q43" s="12" t="str">
        <f aca="false">IFERROR(INDEX('Saisie programme'!$D$13:$J$477,($O$7-1)*39+13,3)&amp;"","")</f>
        <v/>
      </c>
      <c r="R43" s="12" t="str">
        <f aca="false">IFERROR(INDEX('Saisie programme'!$D$13:$J$477,($O$7-1)*39+13,4)&amp;"","")</f>
        <v/>
      </c>
      <c r="S43" s="12" t="str">
        <f aca="false">IFERROR(INDEX('Saisie programme'!$D$13:$J$477,($O$7-1)*39+13,5)&amp;"","")</f>
        <v/>
      </c>
      <c r="T43" s="12" t="str">
        <f aca="false">IFERROR(INDEX('Saisie programme'!$D$13:$J$477,($O$7-1)*39+13,6)&amp;"","")</f>
        <v/>
      </c>
      <c r="U43" s="12" t="str">
        <f aca="false">IFERROR(INDEX('Saisie programme'!$D$13:$J$477,($O$7-1)*39+13,7)&amp;"","")</f>
        <v/>
      </c>
    </row>
    <row r="44" customFormat="false" ht="15" hidden="false" customHeight="false" outlineLevel="0" collapsed="false">
      <c r="N44" s="10" t="s">
        <v>114</v>
      </c>
      <c r="O44" s="12" t="str">
        <f aca="false">IFERROR(INDEX('Saisie programme'!$D$13:$J$477,($O$7-1)*39+14,1)&amp;"","")</f>
        <v/>
      </c>
      <c r="P44" s="12" t="str">
        <f aca="false">IFERROR(INDEX('Saisie programme'!$D$13:$J$477,($O$7-1)*39+14,2)&amp;"","")</f>
        <v/>
      </c>
      <c r="Q44" s="12" t="str">
        <f aca="false">IFERROR(INDEX('Saisie programme'!$D$13:$J$477,($O$7-1)*39+14,3)&amp;"","")</f>
        <v/>
      </c>
      <c r="R44" s="12" t="str">
        <f aca="false">IFERROR(INDEX('Saisie programme'!$D$13:$J$477,($O$7-1)*39+14,4)&amp;"","")</f>
        <v/>
      </c>
      <c r="S44" s="12" t="str">
        <f aca="false">IFERROR(INDEX('Saisie programme'!$D$13:$J$477,($O$7-1)*39+14,5)&amp;"","")</f>
        <v/>
      </c>
      <c r="T44" s="12" t="str">
        <f aca="false">IFERROR(INDEX('Saisie programme'!$D$13:$J$477,($O$7-1)*39+14,6)&amp;"","")</f>
        <v/>
      </c>
      <c r="U44" s="12" t="str">
        <f aca="false">IFERROR(INDEX('Saisie programme'!$D$13:$J$477,($O$7-1)*39+14,7)&amp;"","")</f>
        <v/>
      </c>
    </row>
    <row r="45" customFormat="false" ht="15" hidden="false" customHeight="false" outlineLevel="0" collapsed="false">
      <c r="N45" s="10" t="s">
        <v>115</v>
      </c>
      <c r="O45" s="12" t="str">
        <f aca="false">IFERROR(INDEX('Saisie programme'!$D$13:$J$477,($O$7-1)*39+15,1)&amp;"","")</f>
        <v>0</v>
      </c>
      <c r="P45" s="12" t="str">
        <f aca="false">IFERROR(INDEX('Saisie programme'!$D$13:$J$477,($O$7-1)*39+15,2)&amp;"","")</f>
        <v/>
      </c>
      <c r="Q45" s="12" t="str">
        <f aca="false">IFERROR(INDEX('Saisie programme'!$D$13:$J$477,($O$7-1)*39+15,3)&amp;"","")</f>
        <v>0</v>
      </c>
      <c r="R45" s="12" t="str">
        <f aca="false">IFERROR(INDEX('Saisie programme'!$D$13:$J$477,($O$7-1)*39+15,4)&amp;"","")</f>
        <v/>
      </c>
      <c r="S45" s="12" t="str">
        <f aca="false">IFERROR(INDEX('Saisie programme'!$D$13:$J$477,($O$7-1)*39+15,5)&amp;"","")</f>
        <v>0</v>
      </c>
      <c r="T45" s="12" t="str">
        <f aca="false">IFERROR(INDEX('Saisie programme'!$D$13:$J$477,($O$7-1)*39+15,6)&amp;"","")</f>
        <v/>
      </c>
      <c r="U45" s="12" t="str">
        <f aca="false">IFERROR(INDEX('Saisie programme'!$D$13:$J$477,($O$7-1)*39+15,7)&amp;"","")</f>
        <v>0</v>
      </c>
    </row>
    <row r="46" customFormat="false" ht="15" hidden="false" customHeight="false" outlineLevel="0" collapsed="false">
      <c r="N46" s="10" t="s">
        <v>116</v>
      </c>
      <c r="O46" s="12" t="str">
        <f aca="false">IFERROR(INDEX('Saisie programme'!$D$13:$J$477,($O$7-1)*39+16,1)&amp;"","")</f>
        <v/>
      </c>
      <c r="P46" s="12" t="str">
        <f aca="false">IFERROR(INDEX('Saisie programme'!$D$13:$J$477,($O$7-1)*39+16,2)&amp;"","")</f>
        <v/>
      </c>
      <c r="Q46" s="12" t="str">
        <f aca="false">IFERROR(INDEX('Saisie programme'!$D$13:$J$477,($O$7-1)*39+16,3)&amp;"","")</f>
        <v/>
      </c>
      <c r="R46" s="12" t="str">
        <f aca="false">IFERROR(INDEX('Saisie programme'!$D$13:$J$477,($O$7-1)*39+16,4)&amp;"","")</f>
        <v/>
      </c>
      <c r="S46" s="12" t="str">
        <f aca="false">IFERROR(INDEX('Saisie programme'!$D$13:$J$477,($O$7-1)*39+16,5)&amp;"","")</f>
        <v/>
      </c>
      <c r="T46" s="12" t="str">
        <f aca="false">IFERROR(INDEX('Saisie programme'!$D$13:$J$477,($O$7-1)*39+16,6)&amp;"","")</f>
        <v/>
      </c>
      <c r="U46" s="12" t="str">
        <f aca="false">IFERROR(INDEX('Saisie programme'!$D$13:$J$477,($O$7-1)*39+16,7)&amp;"","")</f>
        <v/>
      </c>
    </row>
    <row r="47" customFormat="false" ht="15" hidden="false" customHeight="false" outlineLevel="0" collapsed="false">
      <c r="N47" s="10" t="s">
        <v>117</v>
      </c>
      <c r="O47" s="12" t="str">
        <f aca="false">IFERROR(INDEX('Saisie programme'!$D$13:$J$477,($O$7-1)*39+17,1)&amp;"","")</f>
        <v/>
      </c>
      <c r="P47" s="12" t="str">
        <f aca="false">IFERROR(INDEX('Saisie programme'!$D$13:$J$477,($O$7-1)*39+17,2)&amp;"","")</f>
        <v/>
      </c>
      <c r="Q47" s="12" t="str">
        <f aca="false">IFERROR(INDEX('Saisie programme'!$D$13:$J$477,($O$7-1)*39+17,3)&amp;"","")</f>
        <v/>
      </c>
      <c r="R47" s="12" t="str">
        <f aca="false">IFERROR(INDEX('Saisie programme'!$D$13:$J$477,($O$7-1)*39+17,4)&amp;"","")</f>
        <v/>
      </c>
      <c r="S47" s="12" t="str">
        <f aca="false">IFERROR(INDEX('Saisie programme'!$D$13:$J$477,($O$7-1)*39+17,5)&amp;"","")</f>
        <v/>
      </c>
      <c r="T47" s="12" t="str">
        <f aca="false">IFERROR(INDEX('Saisie programme'!$D$13:$J$477,($O$7-1)*39+17,6)&amp;"","")</f>
        <v/>
      </c>
      <c r="U47" s="12" t="str">
        <f aca="false">IFERROR(INDEX('Saisie programme'!$D$13:$J$477,($O$7-1)*39+17,7)&amp;"","")</f>
        <v/>
      </c>
    </row>
    <row r="48" customFormat="false" ht="15" hidden="false" customHeight="false" outlineLevel="0" collapsed="false">
      <c r="N48" s="10" t="s">
        <v>118</v>
      </c>
      <c r="O48" s="12" t="str">
        <f aca="false">IFERROR(INDEX('Saisie programme'!$D$13:$J$477,($O$7-1)*39+18,1)&amp;"","")</f>
        <v>0</v>
      </c>
      <c r="P48" s="12" t="str">
        <f aca="false">IFERROR(INDEX('Saisie programme'!$D$13:$J$477,($O$7-1)*39+18,2)&amp;"","")</f>
        <v/>
      </c>
      <c r="Q48" s="12" t="str">
        <f aca="false">IFERROR(INDEX('Saisie programme'!$D$13:$J$477,($O$7-1)*39+18,3)&amp;"","")</f>
        <v/>
      </c>
      <c r="R48" s="12" t="str">
        <f aca="false">IFERROR(INDEX('Saisie programme'!$D$13:$J$477,($O$7-1)*39+18,4)&amp;"","")</f>
        <v>0</v>
      </c>
      <c r="S48" s="12" t="str">
        <f aca="false">IFERROR(INDEX('Saisie programme'!$D$13:$J$477,($O$7-1)*39+18,5)&amp;"","")</f>
        <v/>
      </c>
      <c r="T48" s="12" t="str">
        <f aca="false">IFERROR(INDEX('Saisie programme'!$D$13:$J$477,($O$7-1)*39+18,6)&amp;"","")</f>
        <v>0</v>
      </c>
      <c r="U48" s="12" t="str">
        <f aca="false">IFERROR(INDEX('Saisie programme'!$D$13:$J$477,($O$7-1)*39+18,7)&amp;"","")</f>
        <v/>
      </c>
    </row>
    <row r="49" customFormat="false" ht="15" hidden="false" customHeight="false" outlineLevel="0" collapsed="false">
      <c r="N49" s="10" t="s">
        <v>119</v>
      </c>
      <c r="O49" s="12" t="str">
        <f aca="false">IFERROR(INDEX('Saisie programme'!$D$13:$J$477,($O$7-1)*39+19,1)&amp;"","")</f>
        <v/>
      </c>
      <c r="P49" s="12" t="str">
        <f aca="false">IFERROR(INDEX('Saisie programme'!$D$13:$J$477,($O$7-1)*39+19,2)&amp;"","")</f>
        <v/>
      </c>
      <c r="Q49" s="12" t="str">
        <f aca="false">IFERROR(INDEX('Saisie programme'!$D$13:$J$477,($O$7-1)*39+19,3)&amp;"","")</f>
        <v/>
      </c>
      <c r="R49" s="12" t="str">
        <f aca="false">IFERROR(INDEX('Saisie programme'!$D$13:$J$477,($O$7-1)*39+19,4)&amp;"","")</f>
        <v/>
      </c>
      <c r="S49" s="12" t="str">
        <f aca="false">IFERROR(INDEX('Saisie programme'!$D$13:$J$477,($O$7-1)*39+19,5)&amp;"","")</f>
        <v/>
      </c>
      <c r="T49" s="12" t="str">
        <f aca="false">IFERROR(INDEX('Saisie programme'!$D$13:$J$477,($O$7-1)*39+19,6)&amp;"","")</f>
        <v/>
      </c>
      <c r="U49" s="12" t="str">
        <f aca="false">IFERROR(INDEX('Saisie programme'!$D$13:$J$477,($O$7-1)*39+19,7)&amp;"","")</f>
        <v/>
      </c>
    </row>
    <row r="50" customFormat="false" ht="15" hidden="false" customHeight="false" outlineLevel="0" collapsed="false">
      <c r="N50" s="10" t="s">
        <v>120</v>
      </c>
      <c r="O50" s="12" t="str">
        <f aca="false">IFERROR(INDEX('Saisie programme'!$D$13:$J$477,($O$7-1)*39+20,1)&amp;"","")</f>
        <v/>
      </c>
      <c r="P50" s="12" t="str">
        <f aca="false">IFERROR(INDEX('Saisie programme'!$D$13:$J$477,($O$7-1)*39+20,2)&amp;"","")</f>
        <v/>
      </c>
      <c r="Q50" s="12" t="str">
        <f aca="false">IFERROR(INDEX('Saisie programme'!$D$13:$J$477,($O$7-1)*39+20,3)&amp;"","")</f>
        <v/>
      </c>
      <c r="R50" s="12" t="str">
        <f aca="false">IFERROR(INDEX('Saisie programme'!$D$13:$J$477,($O$7-1)*39+20,4)&amp;"","")</f>
        <v/>
      </c>
      <c r="S50" s="12" t="str">
        <f aca="false">IFERROR(INDEX('Saisie programme'!$D$13:$J$477,($O$7-1)*39+20,5)&amp;"","")</f>
        <v/>
      </c>
      <c r="T50" s="12" t="str">
        <f aca="false">IFERROR(INDEX('Saisie programme'!$D$13:$J$477,($O$7-1)*39+20,6)&amp;"","")</f>
        <v/>
      </c>
      <c r="U50" s="12" t="str">
        <f aca="false">IFERROR(INDEX('Saisie programme'!$D$13:$J$477,($O$7-1)*39+20,7)&amp;"","")</f>
        <v/>
      </c>
    </row>
    <row r="51" customFormat="false" ht="15" hidden="false" customHeight="false" outlineLevel="0" collapsed="false">
      <c r="N51" s="10" t="s">
        <v>121</v>
      </c>
      <c r="O51" s="12" t="str">
        <f aca="false">IFERROR(INDEX('Saisie programme'!$D$13:$J$477,($O$7-1)*39+21,1)&amp;"","")</f>
        <v/>
      </c>
      <c r="P51" s="12" t="str">
        <f aca="false">IFERROR(INDEX('Saisie programme'!$D$13:$J$477,($O$7-1)*39+21,2)&amp;"","")</f>
        <v>0</v>
      </c>
      <c r="Q51" s="12" t="str">
        <f aca="false">IFERROR(INDEX('Saisie programme'!$D$13:$J$477,($O$7-1)*39+21,3)&amp;"","")</f>
        <v/>
      </c>
      <c r="R51" s="12" t="str">
        <f aca="false">IFERROR(INDEX('Saisie programme'!$D$13:$J$477,($O$7-1)*39+21,4)&amp;"","")</f>
        <v>0</v>
      </c>
      <c r="S51" s="12" t="str">
        <f aca="false">IFERROR(INDEX('Saisie programme'!$D$13:$J$477,($O$7-1)*39+21,5)&amp;"","")</f>
        <v/>
      </c>
      <c r="T51" s="12" t="str">
        <f aca="false">IFERROR(INDEX('Saisie programme'!$D$13:$J$477,($O$7-1)*39+21,6)&amp;"","")</f>
        <v>0</v>
      </c>
      <c r="U51" s="12" t="str">
        <f aca="false">IFERROR(INDEX('Saisie programme'!$D$13:$J$477,($O$7-1)*39+21,7)&amp;"","")</f>
        <v/>
      </c>
    </row>
    <row r="52" customFormat="false" ht="15" hidden="false" customHeight="false" outlineLevel="0" collapsed="false">
      <c r="N52" s="10" t="s">
        <v>122</v>
      </c>
      <c r="O52" s="12" t="str">
        <f aca="false">IFERROR(INDEX('Saisie programme'!$D$13:$J$477,($O$7-1)*39+22,1)&amp;"","")</f>
        <v/>
      </c>
      <c r="P52" s="12" t="str">
        <f aca="false">IFERROR(INDEX('Saisie programme'!$D$13:$J$477,($O$7-1)*39+22,2)&amp;"","")</f>
        <v/>
      </c>
      <c r="Q52" s="12" t="str">
        <f aca="false">IFERROR(INDEX('Saisie programme'!$D$13:$J$477,($O$7-1)*39+22,3)&amp;"","")</f>
        <v/>
      </c>
      <c r="R52" s="12" t="str">
        <f aca="false">IFERROR(INDEX('Saisie programme'!$D$13:$J$477,($O$7-1)*39+22,4)&amp;"","")</f>
        <v/>
      </c>
      <c r="S52" s="12" t="str">
        <f aca="false">IFERROR(INDEX('Saisie programme'!$D$13:$J$477,($O$7-1)*39+22,5)&amp;"","")</f>
        <v/>
      </c>
      <c r="T52" s="12" t="str">
        <f aca="false">IFERROR(INDEX('Saisie programme'!$D$13:$J$477,($O$7-1)*39+22,6)&amp;"","")</f>
        <v/>
      </c>
      <c r="U52" s="12" t="str">
        <f aca="false">IFERROR(INDEX('Saisie programme'!$D$13:$J$477,($O$7-1)*39+22,7)&amp;"","")</f>
        <v/>
      </c>
    </row>
    <row r="53" customFormat="false" ht="15" hidden="false" customHeight="false" outlineLevel="0" collapsed="false">
      <c r="N53" s="10" t="s">
        <v>123</v>
      </c>
      <c r="O53" s="12" t="str">
        <f aca="false">IFERROR(INDEX('Saisie programme'!$D$13:$J$477,($O$7-1)*39+23,1)&amp;"","")</f>
        <v>0</v>
      </c>
      <c r="P53" s="12" t="str">
        <f aca="false">IFERROR(INDEX('Saisie programme'!$D$13:$J$477,($O$7-1)*39+23,2)&amp;"","")</f>
        <v/>
      </c>
      <c r="Q53" s="12" t="str">
        <f aca="false">IFERROR(INDEX('Saisie programme'!$D$13:$J$477,($O$7-1)*39+23,3)&amp;"","")</f>
        <v/>
      </c>
      <c r="R53" s="12" t="str">
        <f aca="false">IFERROR(INDEX('Saisie programme'!$D$13:$J$477,($O$7-1)*39+23,4)&amp;"","")</f>
        <v/>
      </c>
      <c r="S53" s="12" t="str">
        <f aca="false">IFERROR(INDEX('Saisie programme'!$D$13:$J$477,($O$7-1)*39+23,5)&amp;"","")</f>
        <v>0</v>
      </c>
      <c r="T53" s="12" t="str">
        <f aca="false">IFERROR(INDEX('Saisie programme'!$D$13:$J$477,($O$7-1)*39+23,6)&amp;"","")</f>
        <v/>
      </c>
      <c r="U53" s="12" t="str">
        <f aca="false">IFERROR(INDEX('Saisie programme'!$D$13:$J$477,($O$7-1)*39+23,7)&amp;"","")</f>
        <v/>
      </c>
    </row>
    <row r="54" customFormat="false" ht="15" hidden="false" customHeight="false" outlineLevel="0" collapsed="false">
      <c r="N54" s="10" t="s">
        <v>124</v>
      </c>
      <c r="O54" s="12" t="str">
        <f aca="false">IFERROR(INDEX('Saisie programme'!$D$13:$J$477,($O$7-1)*39+24,1)&amp;"","")</f>
        <v/>
      </c>
      <c r="P54" s="12" t="str">
        <f aca="false">IFERROR(INDEX('Saisie programme'!$D$13:$J$477,($O$7-1)*39+24,2)&amp;"","")</f>
        <v/>
      </c>
      <c r="Q54" s="12" t="str">
        <f aca="false">IFERROR(INDEX('Saisie programme'!$D$13:$J$477,($O$7-1)*39+24,3)&amp;"","")</f>
        <v/>
      </c>
      <c r="R54" s="12" t="str">
        <f aca="false">IFERROR(INDEX('Saisie programme'!$D$13:$J$477,($O$7-1)*39+24,4)&amp;"","")</f>
        <v/>
      </c>
      <c r="S54" s="12" t="str">
        <f aca="false">IFERROR(INDEX('Saisie programme'!$D$13:$J$477,($O$7-1)*39+24,5)&amp;"","")</f>
        <v/>
      </c>
      <c r="T54" s="12" t="str">
        <f aca="false">IFERROR(INDEX('Saisie programme'!$D$13:$J$477,($O$7-1)*39+24,6)&amp;"","")</f>
        <v/>
      </c>
      <c r="U54" s="12" t="str">
        <f aca="false">IFERROR(INDEX('Saisie programme'!$D$13:$J$477,($O$7-1)*39+24,7)&amp;"","")</f>
        <v/>
      </c>
    </row>
    <row r="55" customFormat="false" ht="15" hidden="false" customHeight="false" outlineLevel="0" collapsed="false">
      <c r="N55" s="10" t="s">
        <v>125</v>
      </c>
      <c r="O55" s="12" t="str">
        <f aca="false">IFERROR(INDEX('Saisie programme'!$D$13:$J$477,($O$7-1)*39+25,1)&amp;"","")</f>
        <v/>
      </c>
      <c r="P55" s="12" t="str">
        <f aca="false">IFERROR(INDEX('Saisie programme'!$D$13:$J$477,($O$7-1)*39+25,2)&amp;"","")</f>
        <v/>
      </c>
      <c r="Q55" s="12" t="str">
        <f aca="false">IFERROR(INDEX('Saisie programme'!$D$13:$J$477,($O$7-1)*39+25,3)&amp;"","")</f>
        <v/>
      </c>
      <c r="R55" s="12" t="str">
        <f aca="false">IFERROR(INDEX('Saisie programme'!$D$13:$J$477,($O$7-1)*39+25,4)&amp;"","")</f>
        <v/>
      </c>
      <c r="S55" s="12" t="str">
        <f aca="false">IFERROR(INDEX('Saisie programme'!$D$13:$J$477,($O$7-1)*39+25,5)&amp;"","")</f>
        <v/>
      </c>
      <c r="T55" s="12" t="str">
        <f aca="false">IFERROR(INDEX('Saisie programme'!$D$13:$J$477,($O$7-1)*39+25,6)&amp;"","")</f>
        <v/>
      </c>
      <c r="U55" s="12" t="str">
        <f aca="false">IFERROR(INDEX('Saisie programme'!$D$13:$J$477,($O$7-1)*39+25,7)&amp;"","")</f>
        <v/>
      </c>
    </row>
    <row r="56" customFormat="false" ht="15" hidden="false" customHeight="false" outlineLevel="0" collapsed="false">
      <c r="N56" s="10" t="s">
        <v>126</v>
      </c>
      <c r="O56" s="12" t="str">
        <f aca="false">IFERROR(INDEX('Saisie programme'!$D$13:$J$477,($O$7-1)*39+26,1)&amp;"","")</f>
        <v/>
      </c>
      <c r="P56" s="12" t="str">
        <f aca="false">IFERROR(INDEX('Saisie programme'!$D$13:$J$477,($O$7-1)*39+26,2)&amp;"","")</f>
        <v/>
      </c>
      <c r="Q56" s="12" t="str">
        <f aca="false">IFERROR(INDEX('Saisie programme'!$D$13:$J$477,($O$7-1)*39+26,3)&amp;"","")</f>
        <v/>
      </c>
      <c r="R56" s="12" t="str">
        <f aca="false">IFERROR(INDEX('Saisie programme'!$D$13:$J$477,($O$7-1)*39+26,4)&amp;"","")</f>
        <v>0</v>
      </c>
      <c r="S56" s="12" t="str">
        <f aca="false">IFERROR(INDEX('Saisie programme'!$D$13:$J$477,($O$7-1)*39+26,5)&amp;"","")</f>
        <v/>
      </c>
      <c r="T56" s="12" t="str">
        <f aca="false">IFERROR(INDEX('Saisie programme'!$D$13:$J$477,($O$7-1)*39+26,6)&amp;"","")</f>
        <v/>
      </c>
      <c r="U56" s="12" t="str">
        <f aca="false">IFERROR(INDEX('Saisie programme'!$D$13:$J$477,($O$7-1)*39+26,7)&amp;"","")</f>
        <v/>
      </c>
    </row>
    <row r="57" customFormat="false" ht="15" hidden="false" customHeight="false" outlineLevel="0" collapsed="false">
      <c r="N57" s="10" t="s">
        <v>127</v>
      </c>
      <c r="O57" s="12" t="str">
        <f aca="false">IFERROR(INDEX('Saisie programme'!$D$13:$J$477,($O$7-1)*39+27,1)&amp;"","")</f>
        <v/>
      </c>
      <c r="P57" s="12" t="str">
        <f aca="false">IFERROR(INDEX('Saisie programme'!$D$13:$J$477,($O$7-1)*39+27,2)&amp;"","")</f>
        <v/>
      </c>
      <c r="Q57" s="12" t="str">
        <f aca="false">IFERROR(INDEX('Saisie programme'!$D$13:$J$477,($O$7-1)*39+27,3)&amp;"","")</f>
        <v/>
      </c>
      <c r="R57" s="12" t="str">
        <f aca="false">IFERROR(INDEX('Saisie programme'!$D$13:$J$477,($O$7-1)*39+27,4)&amp;"","")</f>
        <v/>
      </c>
      <c r="S57" s="12" t="str">
        <f aca="false">IFERROR(INDEX('Saisie programme'!$D$13:$J$477,($O$7-1)*39+27,5)&amp;"","")</f>
        <v/>
      </c>
      <c r="T57" s="12" t="str">
        <f aca="false">IFERROR(INDEX('Saisie programme'!$D$13:$J$477,($O$7-1)*39+27,6)&amp;"","")</f>
        <v/>
      </c>
      <c r="U57" s="12" t="str">
        <f aca="false">IFERROR(INDEX('Saisie programme'!$D$13:$J$477,($O$7-1)*39+27,7)&amp;"","")</f>
        <v/>
      </c>
    </row>
    <row r="58" customFormat="false" ht="15" hidden="false" customHeight="false" outlineLevel="0" collapsed="false">
      <c r="N58" s="10" t="s">
        <v>128</v>
      </c>
      <c r="O58" s="12" t="str">
        <f aca="false">IFERROR(INDEX('Saisie programme'!$D$13:$J$477,($O$7-1)*39+28,1)&amp;"","")</f>
        <v/>
      </c>
      <c r="P58" s="12" t="str">
        <f aca="false">IFERROR(INDEX('Saisie programme'!$D$13:$J$477,($O$7-1)*39+28,2)&amp;"","")</f>
        <v/>
      </c>
      <c r="Q58" s="12" t="str">
        <f aca="false">IFERROR(INDEX('Saisie programme'!$D$13:$J$477,($O$7-1)*39+28,3)&amp;"","")</f>
        <v/>
      </c>
      <c r="R58" s="12" t="str">
        <f aca="false">IFERROR(INDEX('Saisie programme'!$D$13:$J$477,($O$7-1)*39+28,4)&amp;"","")</f>
        <v/>
      </c>
      <c r="S58" s="12" t="str">
        <f aca="false">IFERROR(INDEX('Saisie programme'!$D$13:$J$477,($O$7-1)*39+28,5)&amp;"","")</f>
        <v/>
      </c>
      <c r="T58" s="12" t="str">
        <f aca="false">IFERROR(INDEX('Saisie programme'!$D$13:$J$477,($O$7-1)*39+28,6)&amp;"","")</f>
        <v/>
      </c>
      <c r="U58" s="12" t="str">
        <f aca="false">IFERROR(INDEX('Saisie programme'!$D$13:$J$477,($O$7-1)*39+28,7)&amp;"","")</f>
        <v/>
      </c>
    </row>
    <row r="59" customFormat="false" ht="15" hidden="false" customHeight="false" outlineLevel="0" collapsed="false">
      <c r="N59" s="10" t="s">
        <v>129</v>
      </c>
      <c r="O59" s="12" t="str">
        <f aca="false">IFERROR(INDEX('Saisie programme'!$D$13:$J$477,($O$7-1)*39+29,1)&amp;"","")</f>
        <v/>
      </c>
      <c r="P59" s="12" t="str">
        <f aca="false">IFERROR(INDEX('Saisie programme'!$D$13:$J$477,($O$7-1)*39+29,2)&amp;"","")</f>
        <v/>
      </c>
      <c r="Q59" s="12" t="str">
        <f aca="false">IFERROR(INDEX('Saisie programme'!$D$13:$J$477,($O$7-1)*39+29,3)&amp;"","")</f>
        <v/>
      </c>
      <c r="R59" s="12" t="str">
        <f aca="false">IFERROR(INDEX('Saisie programme'!$D$13:$J$477,($O$7-1)*39+29,4)&amp;"","")</f>
        <v/>
      </c>
      <c r="S59" s="12" t="str">
        <f aca="false">IFERROR(INDEX('Saisie programme'!$D$13:$J$477,($O$7-1)*39+29,5)&amp;"","")</f>
        <v/>
      </c>
      <c r="T59" s="12" t="str">
        <f aca="false">IFERROR(INDEX('Saisie programme'!$D$13:$J$477,($O$7-1)*39+29,6)&amp;"","")</f>
        <v/>
      </c>
      <c r="U59" s="12" t="str">
        <f aca="false">IFERROR(INDEX('Saisie programme'!$D$13:$J$477,($O$7-1)*39+29,7)&amp;"","")</f>
        <v/>
      </c>
    </row>
    <row r="60" customFormat="false" ht="15" hidden="false" customHeight="false" outlineLevel="0" collapsed="false">
      <c r="N60" s="10" t="s">
        <v>130</v>
      </c>
      <c r="O60" s="12" t="str">
        <f aca="false">IFERROR(INDEX('Saisie programme'!$D$13:$J$477,($O$7-1)*39+30,1)&amp;"","")</f>
        <v/>
      </c>
      <c r="P60" s="12" t="str">
        <f aca="false">IFERROR(INDEX('Saisie programme'!$D$13:$J$477,($O$7-1)*39+30,2)&amp;"","")</f>
        <v>0</v>
      </c>
      <c r="Q60" s="12" t="str">
        <f aca="false">IFERROR(INDEX('Saisie programme'!$D$13:$J$477,($O$7-1)*39+30,3)&amp;"","")</f>
        <v/>
      </c>
      <c r="R60" s="12" t="str">
        <f aca="false">IFERROR(INDEX('Saisie programme'!$D$13:$J$477,($O$7-1)*39+30,4)&amp;"","")</f>
        <v/>
      </c>
      <c r="S60" s="12" t="str">
        <f aca="false">IFERROR(INDEX('Saisie programme'!$D$13:$J$477,($O$7-1)*39+30,5)&amp;"","")</f>
        <v/>
      </c>
      <c r="T60" s="12" t="str">
        <f aca="false">IFERROR(INDEX('Saisie programme'!$D$13:$J$477,($O$7-1)*39+30,6)&amp;"","")</f>
        <v>0</v>
      </c>
      <c r="U60" s="12" t="str">
        <f aca="false">IFERROR(INDEX('Saisie programme'!$D$13:$J$477,($O$7-1)*39+30,7)&amp;"","")</f>
        <v/>
      </c>
    </row>
    <row r="61" customFormat="false" ht="15" hidden="false" customHeight="false" outlineLevel="0" collapsed="false">
      <c r="N61" s="10" t="s">
        <v>131</v>
      </c>
      <c r="O61" s="12" t="str">
        <f aca="false">IFERROR(INDEX('Saisie programme'!$D$13:$J$477,($O$7-1)*39+31,1)&amp;"","")</f>
        <v/>
      </c>
      <c r="P61" s="12" t="str">
        <f aca="false">IFERROR(INDEX('Saisie programme'!$D$13:$J$477,($O$7-1)*39+31,2)&amp;"","")</f>
        <v/>
      </c>
      <c r="Q61" s="12" t="str">
        <f aca="false">IFERROR(INDEX('Saisie programme'!$D$13:$J$477,($O$7-1)*39+31,3)&amp;"","")</f>
        <v/>
      </c>
      <c r="R61" s="12" t="str">
        <f aca="false">IFERROR(INDEX('Saisie programme'!$D$13:$J$477,($O$7-1)*39+31,4)&amp;"","")</f>
        <v/>
      </c>
      <c r="S61" s="12" t="str">
        <f aca="false">IFERROR(INDEX('Saisie programme'!$D$13:$J$477,($O$7-1)*39+31,5)&amp;"","")</f>
        <v/>
      </c>
      <c r="T61" s="12" t="str">
        <f aca="false">IFERROR(INDEX('Saisie programme'!$D$13:$J$477,($O$7-1)*39+31,6)&amp;"","")</f>
        <v/>
      </c>
      <c r="U61" s="12" t="str">
        <f aca="false">IFERROR(INDEX('Saisie programme'!$D$13:$J$477,($O$7-1)*39+31,7)&amp;"","")</f>
        <v/>
      </c>
    </row>
    <row r="62" customFormat="false" ht="15" hidden="false" customHeight="false" outlineLevel="0" collapsed="false">
      <c r="N62" s="10" t="s">
        <v>132</v>
      </c>
      <c r="O62" s="12" t="str">
        <f aca="false">IFERROR(INDEX('Saisie programme'!$D$13:$J$477,($O$7-1)*39+32,1)&amp;"","")</f>
        <v/>
      </c>
      <c r="P62" s="12" t="str">
        <f aca="false">IFERROR(INDEX('Saisie programme'!$D$13:$J$477,($O$7-1)*39+32,2)&amp;"","")</f>
        <v/>
      </c>
      <c r="Q62" s="12" t="str">
        <f aca="false">IFERROR(INDEX('Saisie programme'!$D$13:$J$477,($O$7-1)*39+32,3)&amp;"","")</f>
        <v/>
      </c>
      <c r="R62" s="12" t="str">
        <f aca="false">IFERROR(INDEX('Saisie programme'!$D$13:$J$477,($O$7-1)*39+32,4)&amp;"","")</f>
        <v/>
      </c>
      <c r="S62" s="12" t="str">
        <f aca="false">IFERROR(INDEX('Saisie programme'!$D$13:$J$477,($O$7-1)*39+32,5)&amp;"","")</f>
        <v/>
      </c>
      <c r="T62" s="12" t="str">
        <f aca="false">IFERROR(INDEX('Saisie programme'!$D$13:$J$477,($O$7-1)*39+32,6)&amp;"","")</f>
        <v/>
      </c>
      <c r="U62" s="12" t="str">
        <f aca="false">IFERROR(INDEX('Saisie programme'!$D$13:$J$477,($O$7-1)*39+32,7)&amp;"","")</f>
        <v/>
      </c>
    </row>
    <row r="63" customFormat="false" ht="15" hidden="false" customHeight="false" outlineLevel="0" collapsed="false">
      <c r="N63" s="10" t="s">
        <v>133</v>
      </c>
      <c r="O63" s="12" t="str">
        <f aca="false">IFERROR(INDEX('Saisie programme'!$D$13:$J$477,($O$7-1)*39+33,1)&amp;"","")</f>
        <v>0</v>
      </c>
      <c r="P63" s="12" t="str">
        <f aca="false">IFERROR(INDEX('Saisie programme'!$D$13:$J$477,($O$7-1)*39+33,2)&amp;"","")</f>
        <v>0</v>
      </c>
      <c r="Q63" s="12" t="str">
        <f aca="false">IFERROR(INDEX('Saisie programme'!$D$13:$J$477,($O$7-1)*39+33,3)&amp;"","")</f>
        <v>0</v>
      </c>
      <c r="R63" s="12" t="str">
        <f aca="false">IFERROR(INDEX('Saisie programme'!$D$13:$J$477,($O$7-1)*39+33,4)&amp;"","")</f>
        <v>00</v>
      </c>
      <c r="S63" s="12" t="str">
        <f aca="false">IFERROR(INDEX('Saisie programme'!$D$13:$J$477,($O$7-1)*39+33,5)&amp;"","")</f>
        <v>0</v>
      </c>
      <c r="T63" s="12" t="str">
        <f aca="false">IFERROR(INDEX('Saisie programme'!$D$13:$J$477,($O$7-1)*39+33,6)&amp;"","")</f>
        <v>0</v>
      </c>
      <c r="U63" s="12" t="str">
        <f aca="false">IFERROR(INDEX('Saisie programme'!$D$13:$J$477,($O$7-1)*39+33,7)&amp;"","")</f>
        <v/>
      </c>
    </row>
    <row r="64" customFormat="false" ht="15" hidden="false" customHeight="false" outlineLevel="0" collapsed="false">
      <c r="N64" s="10" t="s">
        <v>134</v>
      </c>
      <c r="O64" s="12" t="str">
        <f aca="false">IFERROR(INDEX('Saisie programme'!$D$13:$J$477,($O$7-1)*39+34,1)&amp;"","")</f>
        <v/>
      </c>
      <c r="P64" s="12" t="str">
        <f aca="false">IFERROR(INDEX('Saisie programme'!$D$13:$J$477,($O$7-1)*39+34,2)&amp;"","")</f>
        <v/>
      </c>
      <c r="Q64" s="12" t="str">
        <f aca="false">IFERROR(INDEX('Saisie programme'!$D$13:$J$477,($O$7-1)*39+34,3)&amp;"","")</f>
        <v/>
      </c>
      <c r="R64" s="12" t="str">
        <f aca="false">IFERROR(INDEX('Saisie programme'!$D$13:$J$477,($O$7-1)*39+34,4)&amp;"","")</f>
        <v/>
      </c>
      <c r="S64" s="12" t="str">
        <f aca="false">IFERROR(INDEX('Saisie programme'!$D$13:$J$477,($O$7-1)*39+34,5)&amp;"","")</f>
        <v/>
      </c>
      <c r="T64" s="12" t="str">
        <f aca="false">IFERROR(INDEX('Saisie programme'!$D$13:$J$477,($O$7-1)*39+34,6)&amp;"","")</f>
        <v/>
      </c>
      <c r="U64" s="12" t="str">
        <f aca="false">IFERROR(INDEX('Saisie programme'!$D$13:$J$477,($O$7-1)*39+34,7)&amp;"","")</f>
        <v/>
      </c>
    </row>
    <row r="65" customFormat="false" ht="15" hidden="false" customHeight="false" outlineLevel="0" collapsed="false">
      <c r="N65" s="10" t="s">
        <v>135</v>
      </c>
      <c r="O65" s="12" t="str">
        <f aca="false">IFERROR(INDEX('Saisie programme'!$D$13:$J$477,($O$7-1)*39+35,1)&amp;"","")</f>
        <v/>
      </c>
      <c r="P65" s="12" t="str">
        <f aca="false">IFERROR(INDEX('Saisie programme'!$D$13:$J$477,($O$7-1)*39+35,2)&amp;"","")</f>
        <v/>
      </c>
      <c r="Q65" s="12" t="str">
        <f aca="false">IFERROR(INDEX('Saisie programme'!$D$13:$J$477,($O$7-1)*39+35,3)&amp;"","")</f>
        <v/>
      </c>
      <c r="R65" s="12" t="str">
        <f aca="false">IFERROR(INDEX('Saisie programme'!$D$13:$J$477,($O$7-1)*39+35,4)&amp;"","")</f>
        <v/>
      </c>
      <c r="S65" s="12" t="str">
        <f aca="false">IFERROR(INDEX('Saisie programme'!$D$13:$J$477,($O$7-1)*39+35,5)&amp;"","")</f>
        <v/>
      </c>
      <c r="T65" s="12" t="str">
        <f aca="false">IFERROR(INDEX('Saisie programme'!$D$13:$J$477,($O$7-1)*39+35,6)&amp;"","")</f>
        <v/>
      </c>
      <c r="U65" s="12" t="str">
        <f aca="false">IFERROR(INDEX('Saisie programme'!$D$13:$J$477,($O$7-1)*39+35,7)&amp;"","")</f>
        <v/>
      </c>
    </row>
    <row r="66" customFormat="false" ht="15" hidden="false" customHeight="false" outlineLevel="0" collapsed="false">
      <c r="N66" s="10" t="s">
        <v>136</v>
      </c>
      <c r="O66" s="12" t="str">
        <f aca="false">IFERROR(INDEX('Saisie programme'!$D$13:$J$477,($O$7-1)*39+36,1)&amp;"","")</f>
        <v/>
      </c>
      <c r="P66" s="12" t="str">
        <f aca="false">IFERROR(INDEX('Saisie programme'!$D$13:$J$477,($O$7-1)*39+36,2)&amp;"","")</f>
        <v/>
      </c>
      <c r="Q66" s="12" t="str">
        <f aca="false">IFERROR(INDEX('Saisie programme'!$D$13:$J$477,($O$7-1)*39+36,3)&amp;"","")</f>
        <v>0</v>
      </c>
      <c r="R66" s="12" t="str">
        <f aca="false">IFERROR(INDEX('Saisie programme'!$D$13:$J$477,($O$7-1)*39+36,4)&amp;"","")</f>
        <v/>
      </c>
      <c r="S66" s="12" t="str">
        <f aca="false">IFERROR(INDEX('Saisie programme'!$D$13:$J$477,($O$7-1)*39+36,5)&amp;"","")</f>
        <v/>
      </c>
      <c r="T66" s="12" t="str">
        <f aca="false">IFERROR(INDEX('Saisie programme'!$D$13:$J$477,($O$7-1)*39+36,6)&amp;"","")</f>
        <v/>
      </c>
      <c r="U66" s="12" t="str">
        <f aca="false">IFERROR(INDEX('Saisie programme'!$D$13:$J$477,($O$7-1)*39+36,7)&amp;"","")</f>
        <v>0</v>
      </c>
    </row>
  </sheetData>
  <mergeCells count="11">
    <mergeCell ref="B1:I1"/>
    <mergeCell ref="B2:I2"/>
    <mergeCell ref="N3:O3"/>
    <mergeCell ref="C4:D4"/>
    <mergeCell ref="C5:D5"/>
    <mergeCell ref="B6:I6"/>
    <mergeCell ref="N15:U15"/>
    <mergeCell ref="D21:I21"/>
    <mergeCell ref="B23:L23"/>
    <mergeCell ref="N29:U29"/>
    <mergeCell ref="B38:L39"/>
  </mergeCells>
  <conditionalFormatting sqref="C8:I8 C10:I10 C12:I12 C14:I14 C16:I16 C18:I18">
    <cfRule type="expression" priority="2" aboveAverage="0" equalAverage="0" bottom="0" percent="0" rank="0" text="" dxfId="0">
      <formula>ISNUMBER(SEARCH("(+",C8))</formula>
    </cfRule>
    <cfRule type="expression" priority="3" aboveAverage="0" equalAverage="0" bottom="0" percent="0" rank="0" text="" dxfId="1">
      <formula>AND($C$5="CDGRUN",C8&lt;&gt;"")</formula>
    </cfRule>
    <cfRule type="expression" priority="4" aboveAverage="0" equalAverage="0" bottom="0" percent="0" rank="0" text="" dxfId="2">
      <formula>AND($C$5="CDGDZA",C8&lt;&gt;"")</formula>
    </cfRule>
    <cfRule type="expression" priority="5" aboveAverage="0" equalAverage="0" bottom="0" percent="0" rank="0" text="" dxfId="3">
      <formula>AND($C$5="BKKRUN",C8&lt;&gt;"")</formula>
    </cfRule>
    <cfRule type="expression" priority="6" aboveAverage="0" equalAverage="0" bottom="0" percent="0" rank="0" text="" dxfId="4">
      <formula>AND($C$5="DZARUN",C8&lt;&gt;"")</formula>
    </cfRule>
    <cfRule type="expression" priority="7" aboveAverage="0" equalAverage="0" bottom="0" percent="0" rank="0" text="" dxfId="5">
      <formula>AND($C$5="MRURUN",C8&lt;&gt;"")</formula>
    </cfRule>
    <cfRule type="expression" priority="8" aboveAverage="0" equalAverage="0" bottom="0" percent="0" rank="0" text="" dxfId="6">
      <formula>AND($C$5="NOSRUN",C8&lt;&gt;"")</formula>
    </cfRule>
    <cfRule type="expression" priority="9" aboveAverage="0" equalAverage="0" bottom="0" percent="0" rank="0" text="" dxfId="7">
      <formula>AND($C$5="RUNTNR",C8&lt;&gt;"")</formula>
    </cfRule>
    <cfRule type="expression" priority="10" aboveAverage="0" equalAverage="0" bottom="0" percent="0" rank="0" text="" dxfId="8">
      <formula>AND($C$5="JNBRUN",C8&lt;&gt;"")</formula>
    </cfRule>
    <cfRule type="expression" priority="11" aboveAverage="0" equalAverage="0" bottom="0" percent="0" rank="0" text="" dxfId="9">
      <formula>AND($C$5="CPTRUN",C8&lt;&gt;"")</formula>
    </cfRule>
    <cfRule type="expression" priority="12" aboveAverage="0" equalAverage="0" bottom="0" percent="0" rank="0" text="" dxfId="10">
      <formula>AND($C$5="DIERUN",C8&lt;&gt;"")</formula>
    </cfRule>
    <cfRule type="expression" priority="13" aboveAverage="0" equalAverage="0" bottom="0" percent="0" rank="0" text="" dxfId="11">
      <formula>AND($C$5="RRGRUN",C8&lt;&gt;"")</formula>
    </cfRule>
    <cfRule type="expression" priority="14" aboveAverage="0" equalAverage="0" bottom="0" percent="0" rank="0" text="" dxfId="12">
      <formula>AND($C$5="TMMRUN",C8&lt;&gt;"")</formula>
    </cfRule>
  </conditionalFormatting>
  <conditionalFormatting sqref="B25:B36">
    <cfRule type="expression" priority="15" aboveAverage="0" equalAverage="0" bottom="0" percent="0" rank="0" text="" dxfId="1">
      <formula>$B25="CDGRUN"</formula>
    </cfRule>
    <cfRule type="expression" priority="16" aboveAverage="0" equalAverage="0" bottom="0" percent="0" rank="0" text="" dxfId="2">
      <formula>$B25="CDGDZA"</formula>
    </cfRule>
    <cfRule type="expression" priority="17" aboveAverage="0" equalAverage="0" bottom="0" percent="0" rank="0" text="" dxfId="3">
      <formula>$B25="BKKRUN"</formula>
    </cfRule>
    <cfRule type="expression" priority="18" aboveAverage="0" equalAverage="0" bottom="0" percent="0" rank="0" text="" dxfId="4">
      <formula>$B25="DZARUN"</formula>
    </cfRule>
    <cfRule type="expression" priority="19" aboveAverage="0" equalAverage="0" bottom="0" percent="0" rank="0" text="" dxfId="5">
      <formula>$B25="MRURUN"</formula>
    </cfRule>
    <cfRule type="expression" priority="20" aboveAverage="0" equalAverage="0" bottom="0" percent="0" rank="0" text="" dxfId="6">
      <formula>$B25="NOSRUN"</formula>
    </cfRule>
    <cfRule type="expression" priority="21" aboveAverage="0" equalAverage="0" bottom="0" percent="0" rank="0" text="" dxfId="7">
      <formula>$B25="RUNTNR"</formula>
    </cfRule>
    <cfRule type="expression" priority="22" aboveAverage="0" equalAverage="0" bottom="0" percent="0" rank="0" text="" dxfId="8">
      <formula>$B25="JNBRUN"</formula>
    </cfRule>
    <cfRule type="expression" priority="23" aboveAverage="0" equalAverage="0" bottom="0" percent="0" rank="0" text="" dxfId="9">
      <formula>$B25="CPTRUN"</formula>
    </cfRule>
    <cfRule type="expression" priority="24" aboveAverage="0" equalAverage="0" bottom="0" percent="0" rank="0" text="" dxfId="10">
      <formula>$B25="DIERUN"</formula>
    </cfRule>
    <cfRule type="expression" priority="25" aboveAverage="0" equalAverage="0" bottom="0" percent="0" rank="0" text="" dxfId="11">
      <formula>$B25="RRGRUN"</formula>
    </cfRule>
    <cfRule type="expression" priority="26" aboveAverage="0" equalAverage="0" bottom="0" percent="0" rank="0" text="" dxfId="12">
      <formula>$B25="TMMRUN"</formula>
    </cfRule>
  </conditionalFormatting>
  <dataValidations count="2">
    <dataValidation allowBlank="false" errorStyle="stop" operator="between" showDropDown="false" showErrorMessage="false" showInputMessage="false" sqref="C4" type="list">
      <formula1>$W$4:$W$15</formula1>
      <formula2>0</formula2>
    </dataValidation>
    <dataValidation allowBlank="false" errorStyle="stop" operator="between" showDropDown="false" showErrorMessage="false" showInputMessage="false" sqref="C5" type="list">
      <formula1>$Z$4:$Z$15</formula1>
      <formula2>0</formula2>
    </dataValidation>
  </dataValidations>
  <hyperlinks>
    <hyperlink ref="E5" location="'Saisie programme'!A1" display="&gt;&gt; Aller a la saisie du programme"/>
    <hyperlink ref="G5" location="'Vols additionnels'!A1" display="&gt;&gt; Aller aux vols additionne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4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10" min="4" style="0" width="13"/>
    <col collapsed="false" customWidth="true" hidden="false" outlineLevel="0" max="12" min="11" style="0" width="14"/>
  </cols>
  <sheetData>
    <row r="1" customFormat="false" ht="30" hidden="false" customHeight="true" outlineLevel="0" collapsed="false">
      <c r="B1" s="44" t="s">
        <v>137</v>
      </c>
      <c r="C1" s="44"/>
      <c r="D1" s="44"/>
      <c r="E1" s="44"/>
      <c r="F1" s="44"/>
      <c r="G1" s="44"/>
      <c r="H1" s="44"/>
      <c r="I1" s="44"/>
      <c r="J1" s="44"/>
      <c r="K1" s="44"/>
      <c r="L1" s="44"/>
    </row>
    <row r="2" customFormat="false" ht="55.5" hidden="false" customHeight="true" outlineLevel="0" collapsed="false">
      <c r="B2" s="45" t="s">
        <v>138</v>
      </c>
      <c r="C2" s="45"/>
      <c r="D2" s="45"/>
      <c r="E2" s="45"/>
      <c r="F2" s="45"/>
      <c r="G2" s="45"/>
      <c r="H2" s="45"/>
      <c r="I2" s="45"/>
      <c r="J2" s="45"/>
      <c r="K2" s="45"/>
      <c r="L2" s="45"/>
    </row>
    <row r="3" customFormat="false" ht="15" hidden="false" customHeight="false" outlineLevel="0" collapsed="false">
      <c r="B3" s="45"/>
      <c r="C3" s="45"/>
      <c r="D3" s="45"/>
      <c r="E3" s="45"/>
      <c r="F3" s="45"/>
      <c r="G3" s="45"/>
      <c r="H3" s="45"/>
      <c r="I3" s="45"/>
      <c r="J3" s="45"/>
      <c r="K3" s="45"/>
      <c r="L3" s="45"/>
    </row>
    <row r="4" customFormat="false" ht="15" hidden="false" customHeight="false" outlineLevel="0" collapsed="false">
      <c r="B4" s="45"/>
      <c r="C4" s="45"/>
      <c r="D4" s="45"/>
      <c r="E4" s="45"/>
      <c r="F4" s="45"/>
      <c r="G4" s="45"/>
      <c r="H4" s="45"/>
      <c r="I4" s="45"/>
      <c r="J4" s="45"/>
      <c r="K4" s="45"/>
      <c r="L4" s="45"/>
    </row>
    <row r="6" customFormat="false" ht="15" hidden="false" customHeight="false" outlineLevel="0" collapsed="false">
      <c r="B6" s="46" t="s">
        <v>139</v>
      </c>
      <c r="C6" s="47" t="str">
        <f aca="false">'Programme de vols'!$C$4</f>
        <v>avril 2027</v>
      </c>
      <c r="D6" s="47"/>
      <c r="E6" s="13" t="s">
        <v>140</v>
      </c>
    </row>
    <row r="8" customFormat="false" ht="15" hidden="false" customHeight="false" outlineLevel="0" collapsed="false">
      <c r="B8" s="48" t="s">
        <v>141</v>
      </c>
      <c r="C8" s="49" t="s">
        <v>8</v>
      </c>
      <c r="D8" s="49" t="s">
        <v>18</v>
      </c>
      <c r="E8" s="49" t="s">
        <v>23</v>
      </c>
      <c r="F8" s="49" t="s">
        <v>35</v>
      </c>
      <c r="G8" s="49" t="s">
        <v>39</v>
      </c>
      <c r="H8" s="49" t="s">
        <v>42</v>
      </c>
    </row>
    <row r="9" customFormat="false" ht="15" hidden="false" customHeight="false" outlineLevel="0" collapsed="false">
      <c r="B9" s="50" t="s">
        <v>142</v>
      </c>
      <c r="C9" s="49" t="s">
        <v>45</v>
      </c>
      <c r="D9" s="49" t="s">
        <v>48</v>
      </c>
      <c r="E9" s="49" t="s">
        <v>52</v>
      </c>
      <c r="F9" s="49" t="s">
        <v>55</v>
      </c>
      <c r="G9" s="49" t="s">
        <v>58</v>
      </c>
      <c r="H9" s="49" t="s">
        <v>61</v>
      </c>
    </row>
    <row r="11" customFormat="false" ht="19.5" hidden="false" customHeight="true" outlineLevel="0" collapsed="false">
      <c r="B11" s="51" t="str">
        <f aca="false">"TABLEAU 1/12  -  PROGRAMME DE AVRIL 2027"&amp;IF($C$6="avril 2027","          &lt;&lt;&lt; MOIS ACTUELLEMENT FILTRE","")</f>
        <v>TABLEAU 1/12  -  PROGRAMME DE AVRIL 2027          &lt;&lt;&lt; MOIS ACTUELLEMENT FILTRE</v>
      </c>
      <c r="C11" s="51"/>
      <c r="D11" s="51"/>
      <c r="E11" s="51"/>
      <c r="F11" s="51"/>
      <c r="G11" s="51"/>
      <c r="H11" s="51"/>
      <c r="I11" s="51"/>
      <c r="J11" s="51"/>
      <c r="L11" s="52" t="s">
        <v>143</v>
      </c>
    </row>
    <row r="12" customFormat="false" ht="25.5" hidden="false" customHeight="true" outlineLevel="0" collapsed="false">
      <c r="B12" s="53" t="s">
        <v>84</v>
      </c>
      <c r="C12" s="53" t="s">
        <v>144</v>
      </c>
      <c r="D12" s="53" t="s">
        <v>27</v>
      </c>
      <c r="E12" s="53" t="s">
        <v>28</v>
      </c>
      <c r="F12" s="53" t="s">
        <v>29</v>
      </c>
      <c r="G12" s="53" t="s">
        <v>30</v>
      </c>
      <c r="H12" s="53" t="s">
        <v>31</v>
      </c>
      <c r="I12" s="53" t="s">
        <v>32</v>
      </c>
      <c r="J12" s="53" t="s">
        <v>33</v>
      </c>
      <c r="K12" s="53" t="s">
        <v>145</v>
      </c>
      <c r="L12" s="53" t="s">
        <v>146</v>
      </c>
    </row>
    <row r="13" customFormat="false" ht="15" hidden="false" customHeight="false" outlineLevel="0" collapsed="false">
      <c r="B13" s="54" t="s">
        <v>12</v>
      </c>
      <c r="C13" s="55" t="s">
        <v>11</v>
      </c>
      <c r="D13" s="56" t="s">
        <v>147</v>
      </c>
      <c r="E13" s="56" t="s">
        <v>147</v>
      </c>
      <c r="F13" s="56" t="s">
        <v>147</v>
      </c>
      <c r="G13" s="56" t="s">
        <v>147</v>
      </c>
      <c r="H13" s="56" t="s">
        <v>147</v>
      </c>
      <c r="I13" s="56" t="s">
        <v>147</v>
      </c>
      <c r="J13" s="56" t="s">
        <v>147</v>
      </c>
      <c r="K13" s="38" t="n">
        <f aca="false">SUMPRODUCT(LEN(D13:J13))</f>
        <v>7</v>
      </c>
      <c r="L13" s="37" t="n">
        <f aca="false">SUM(K13:K15)</f>
        <v>11</v>
      </c>
    </row>
    <row r="14" customFormat="false" ht="15" hidden="false" customHeight="false" outlineLevel="0" collapsed="false">
      <c r="B14" s="54"/>
      <c r="C14" s="55" t="s">
        <v>19</v>
      </c>
      <c r="D14" s="56" t="s">
        <v>147</v>
      </c>
      <c r="E14" s="56"/>
      <c r="F14" s="56"/>
      <c r="G14" s="56"/>
      <c r="H14" s="56" t="s">
        <v>147</v>
      </c>
      <c r="I14" s="56"/>
      <c r="J14" s="56"/>
      <c r="K14" s="38" t="n">
        <f aca="false">SUMPRODUCT(LEN(D14:J14))</f>
        <v>2</v>
      </c>
      <c r="L14" s="37"/>
    </row>
    <row r="15" customFormat="false" ht="15" hidden="false" customHeight="false" outlineLevel="0" collapsed="false">
      <c r="B15" s="54"/>
      <c r="C15" s="55" t="s">
        <v>24</v>
      </c>
      <c r="D15" s="56" t="s">
        <v>148</v>
      </c>
      <c r="E15" s="56"/>
      <c r="F15" s="56"/>
      <c r="G15" s="56"/>
      <c r="H15" s="56"/>
      <c r="I15" s="56"/>
      <c r="J15" s="56"/>
      <c r="K15" s="38" t="n">
        <f aca="false">SUMPRODUCT(LEN(D15:J15))</f>
        <v>2</v>
      </c>
      <c r="L15" s="37"/>
    </row>
    <row r="16" customFormat="false" ht="15" hidden="false" customHeight="false" outlineLevel="0" collapsed="false">
      <c r="B16" s="57" t="s">
        <v>20</v>
      </c>
      <c r="C16" s="55" t="s">
        <v>11</v>
      </c>
      <c r="D16" s="56"/>
      <c r="E16" s="56"/>
      <c r="F16" s="56"/>
      <c r="G16" s="56"/>
      <c r="H16" s="56"/>
      <c r="I16" s="56"/>
      <c r="J16" s="56" t="s">
        <v>147</v>
      </c>
      <c r="K16" s="38" t="n">
        <f aca="false">SUMPRODUCT(LEN(D16:J16))</f>
        <v>1</v>
      </c>
      <c r="L16" s="37" t="n">
        <f aca="false">SUM(K16:K18)</f>
        <v>3</v>
      </c>
    </row>
    <row r="17" customFormat="false" ht="15" hidden="false" customHeight="false" outlineLevel="0" collapsed="false">
      <c r="B17" s="57"/>
      <c r="C17" s="55" t="s">
        <v>19</v>
      </c>
      <c r="D17" s="56"/>
      <c r="E17" s="56" t="s">
        <v>147</v>
      </c>
      <c r="F17" s="56"/>
      <c r="G17" s="56"/>
      <c r="H17" s="56" t="s">
        <v>147</v>
      </c>
      <c r="I17" s="56"/>
      <c r="J17" s="56"/>
      <c r="K17" s="38" t="n">
        <f aca="false">SUMPRODUCT(LEN(D17:J17))</f>
        <v>2</v>
      </c>
      <c r="L17" s="37"/>
    </row>
    <row r="18" customFormat="false" ht="15" hidden="false" customHeight="false" outlineLevel="0" collapsed="false">
      <c r="B18" s="57"/>
      <c r="C18" s="55" t="s">
        <v>24</v>
      </c>
      <c r="D18" s="56"/>
      <c r="E18" s="56"/>
      <c r="F18" s="56"/>
      <c r="G18" s="56"/>
      <c r="H18" s="56"/>
      <c r="I18" s="56"/>
      <c r="J18" s="56"/>
      <c r="K18" s="38" t="n">
        <f aca="false">SUMPRODUCT(LEN(D18:J18))</f>
        <v>0</v>
      </c>
      <c r="L18" s="37"/>
    </row>
    <row r="19" customFormat="false" ht="15" hidden="false" customHeight="false" outlineLevel="0" collapsed="false">
      <c r="B19" s="58" t="s">
        <v>25</v>
      </c>
      <c r="C19" s="55" t="s">
        <v>11</v>
      </c>
      <c r="D19" s="56"/>
      <c r="E19" s="56"/>
      <c r="F19" s="56"/>
      <c r="G19" s="56"/>
      <c r="H19" s="56"/>
      <c r="I19" s="56"/>
      <c r="J19" s="56"/>
      <c r="K19" s="38" t="n">
        <f aca="false">SUMPRODUCT(LEN(D19:J19))</f>
        <v>0</v>
      </c>
      <c r="L19" s="37" t="n">
        <f aca="false">SUM(K19:K21)</f>
        <v>2</v>
      </c>
    </row>
    <row r="20" customFormat="false" ht="15" hidden="false" customHeight="false" outlineLevel="0" collapsed="false">
      <c r="B20" s="58"/>
      <c r="C20" s="55" t="s">
        <v>19</v>
      </c>
      <c r="D20" s="56"/>
      <c r="E20" s="56"/>
      <c r="F20" s="56" t="s">
        <v>147</v>
      </c>
      <c r="G20" s="56"/>
      <c r="H20" s="56"/>
      <c r="I20" s="56" t="s">
        <v>147</v>
      </c>
      <c r="J20" s="56"/>
      <c r="K20" s="38" t="n">
        <f aca="false">SUMPRODUCT(LEN(D20:J20))</f>
        <v>2</v>
      </c>
      <c r="L20" s="37"/>
    </row>
    <row r="21" customFormat="false" ht="15" hidden="false" customHeight="false" outlineLevel="0" collapsed="false">
      <c r="B21" s="58"/>
      <c r="C21" s="55" t="s">
        <v>24</v>
      </c>
      <c r="D21" s="56"/>
      <c r="E21" s="56"/>
      <c r="F21" s="56"/>
      <c r="G21" s="56"/>
      <c r="H21" s="56"/>
      <c r="I21" s="56"/>
      <c r="J21" s="56"/>
      <c r="K21" s="38" t="n">
        <f aca="false">SUMPRODUCT(LEN(D21:J21))</f>
        <v>0</v>
      </c>
      <c r="L21" s="37"/>
    </row>
    <row r="22" customFormat="false" ht="15" hidden="false" customHeight="false" outlineLevel="0" collapsed="false">
      <c r="B22" s="59" t="s">
        <v>36</v>
      </c>
      <c r="C22" s="55" t="s">
        <v>11</v>
      </c>
      <c r="D22" s="56"/>
      <c r="E22" s="56"/>
      <c r="F22" s="56"/>
      <c r="G22" s="56"/>
      <c r="H22" s="56"/>
      <c r="I22" s="56"/>
      <c r="J22" s="56"/>
      <c r="K22" s="38" t="n">
        <f aca="false">SUMPRODUCT(LEN(D22:J22))</f>
        <v>0</v>
      </c>
      <c r="L22" s="37" t="n">
        <f aca="false">SUM(K22:K24)</f>
        <v>6</v>
      </c>
    </row>
    <row r="23" customFormat="false" ht="15" hidden="false" customHeight="false" outlineLevel="0" collapsed="false">
      <c r="B23" s="59"/>
      <c r="C23" s="55" t="s">
        <v>19</v>
      </c>
      <c r="D23" s="56"/>
      <c r="E23" s="56"/>
      <c r="F23" s="56" t="s">
        <v>149</v>
      </c>
      <c r="G23" s="56"/>
      <c r="H23" s="56"/>
      <c r="I23" s="56"/>
      <c r="J23" s="56"/>
      <c r="K23" s="38" t="n">
        <f aca="false">SUMPRODUCT(LEN(D23:J23))</f>
        <v>1</v>
      </c>
      <c r="L23" s="37"/>
    </row>
    <row r="24" customFormat="false" ht="15" hidden="false" customHeight="false" outlineLevel="0" collapsed="false">
      <c r="B24" s="59"/>
      <c r="C24" s="55" t="s">
        <v>24</v>
      </c>
      <c r="D24" s="56" t="s">
        <v>149</v>
      </c>
      <c r="E24" s="56" t="s">
        <v>149</v>
      </c>
      <c r="F24" s="56" t="s">
        <v>149</v>
      </c>
      <c r="G24" s="56" t="s">
        <v>149</v>
      </c>
      <c r="H24" s="56" t="s">
        <v>149</v>
      </c>
      <c r="I24" s="56"/>
      <c r="J24" s="56"/>
      <c r="K24" s="38" t="n">
        <f aca="false">SUMPRODUCT(LEN(D24:J24))</f>
        <v>5</v>
      </c>
      <c r="L24" s="37"/>
    </row>
    <row r="25" customFormat="false" ht="15" hidden="false" customHeight="false" outlineLevel="0" collapsed="false">
      <c r="B25" s="60" t="s">
        <v>40</v>
      </c>
      <c r="C25" s="55" t="s">
        <v>11</v>
      </c>
      <c r="D25" s="56"/>
      <c r="E25" s="56"/>
      <c r="F25" s="56"/>
      <c r="G25" s="56"/>
      <c r="H25" s="56"/>
      <c r="I25" s="56"/>
      <c r="J25" s="56"/>
      <c r="K25" s="38" t="n">
        <f aca="false">SUMPRODUCT(LEN(D25:J25))</f>
        <v>0</v>
      </c>
      <c r="L25" s="37" t="n">
        <f aca="false">SUM(K25:K27)</f>
        <v>4</v>
      </c>
    </row>
    <row r="26" customFormat="false" ht="15" hidden="false" customHeight="false" outlineLevel="0" collapsed="false">
      <c r="B26" s="60"/>
      <c r="C26" s="55" t="s">
        <v>19</v>
      </c>
      <c r="D26" s="56"/>
      <c r="E26" s="56"/>
      <c r="F26" s="56"/>
      <c r="G26" s="56"/>
      <c r="H26" s="56"/>
      <c r="I26" s="56"/>
      <c r="J26" s="56"/>
      <c r="K26" s="38" t="n">
        <f aca="false">SUMPRODUCT(LEN(D26:J26))</f>
        <v>0</v>
      </c>
      <c r="L26" s="37"/>
    </row>
    <row r="27" customFormat="false" ht="15" hidden="false" customHeight="false" outlineLevel="0" collapsed="false">
      <c r="B27" s="60"/>
      <c r="C27" s="55" t="s">
        <v>24</v>
      </c>
      <c r="D27" s="56" t="s">
        <v>149</v>
      </c>
      <c r="E27" s="56"/>
      <c r="F27" s="56" t="s">
        <v>149</v>
      </c>
      <c r="G27" s="56"/>
      <c r="H27" s="56" t="s">
        <v>149</v>
      </c>
      <c r="I27" s="56"/>
      <c r="J27" s="56" t="s">
        <v>149</v>
      </c>
      <c r="K27" s="38" t="n">
        <f aca="false">SUMPRODUCT(LEN(D27:J27))</f>
        <v>4</v>
      </c>
      <c r="L27" s="37"/>
    </row>
    <row r="28" customFormat="false" ht="15" hidden="false" customHeight="false" outlineLevel="0" collapsed="false">
      <c r="B28" s="61" t="s">
        <v>14</v>
      </c>
      <c r="C28" s="55" t="s">
        <v>11</v>
      </c>
      <c r="D28" s="56"/>
      <c r="E28" s="56"/>
      <c r="F28" s="56"/>
      <c r="G28" s="56"/>
      <c r="H28" s="56"/>
      <c r="I28" s="56"/>
      <c r="J28" s="56"/>
      <c r="K28" s="38" t="n">
        <f aca="false">SUMPRODUCT(LEN(D28:J28))</f>
        <v>0</v>
      </c>
      <c r="L28" s="37" t="n">
        <f aca="false">SUM(K28:K30)</f>
        <v>3</v>
      </c>
    </row>
    <row r="29" customFormat="false" ht="15" hidden="false" customHeight="false" outlineLevel="0" collapsed="false">
      <c r="B29" s="61"/>
      <c r="C29" s="55" t="s">
        <v>19</v>
      </c>
      <c r="D29" s="56"/>
      <c r="E29" s="56"/>
      <c r="F29" s="56"/>
      <c r="G29" s="56"/>
      <c r="H29" s="56"/>
      <c r="I29" s="56"/>
      <c r="J29" s="56"/>
      <c r="K29" s="38" t="n">
        <f aca="false">SUMPRODUCT(LEN(D29:J29))</f>
        <v>0</v>
      </c>
      <c r="L29" s="37"/>
    </row>
    <row r="30" customFormat="false" ht="15" hidden="false" customHeight="false" outlineLevel="0" collapsed="false">
      <c r="B30" s="61"/>
      <c r="C30" s="55" t="s">
        <v>24</v>
      </c>
      <c r="D30" s="56" t="s">
        <v>149</v>
      </c>
      <c r="E30" s="56"/>
      <c r="F30" s="56"/>
      <c r="G30" s="56" t="s">
        <v>149</v>
      </c>
      <c r="H30" s="56"/>
      <c r="I30" s="56" t="s">
        <v>149</v>
      </c>
      <c r="J30" s="56"/>
      <c r="K30" s="38" t="n">
        <f aca="false">SUMPRODUCT(LEN(D30:J30))</f>
        <v>3</v>
      </c>
      <c r="L30" s="37"/>
    </row>
    <row r="31" customFormat="false" ht="15" hidden="false" customHeight="false" outlineLevel="0" collapsed="false">
      <c r="B31" s="62" t="s">
        <v>46</v>
      </c>
      <c r="C31" s="55" t="s">
        <v>11</v>
      </c>
      <c r="D31" s="56"/>
      <c r="E31" s="56"/>
      <c r="F31" s="56"/>
      <c r="G31" s="56"/>
      <c r="H31" s="56"/>
      <c r="I31" s="56"/>
      <c r="J31" s="56"/>
      <c r="K31" s="38" t="n">
        <f aca="false">SUMPRODUCT(LEN(D31:J31))</f>
        <v>0</v>
      </c>
      <c r="L31" s="37" t="n">
        <f aca="false">SUM(K31:K33)</f>
        <v>3</v>
      </c>
    </row>
    <row r="32" customFormat="false" ht="15" hidden="false" customHeight="false" outlineLevel="0" collapsed="false">
      <c r="B32" s="62"/>
      <c r="C32" s="55" t="s">
        <v>19</v>
      </c>
      <c r="D32" s="56"/>
      <c r="E32" s="56"/>
      <c r="F32" s="56"/>
      <c r="G32" s="56"/>
      <c r="H32" s="56"/>
      <c r="I32" s="56"/>
      <c r="J32" s="56"/>
      <c r="K32" s="38" t="n">
        <f aca="false">SUMPRODUCT(LEN(D32:J32))</f>
        <v>0</v>
      </c>
      <c r="L32" s="37"/>
    </row>
    <row r="33" customFormat="false" ht="15" hidden="false" customHeight="false" outlineLevel="0" collapsed="false">
      <c r="B33" s="62"/>
      <c r="C33" s="55" t="s">
        <v>24</v>
      </c>
      <c r="D33" s="56"/>
      <c r="E33" s="56" t="s">
        <v>149</v>
      </c>
      <c r="F33" s="56"/>
      <c r="G33" s="56" t="s">
        <v>149</v>
      </c>
      <c r="H33" s="56"/>
      <c r="I33" s="56" t="s">
        <v>149</v>
      </c>
      <c r="J33" s="56"/>
      <c r="K33" s="38" t="n">
        <f aca="false">SUMPRODUCT(LEN(D33:J33))</f>
        <v>3</v>
      </c>
      <c r="L33" s="37"/>
    </row>
    <row r="34" customFormat="false" ht="15" hidden="false" customHeight="false" outlineLevel="0" collapsed="false">
      <c r="B34" s="63" t="s">
        <v>49</v>
      </c>
      <c r="C34" s="55" t="s">
        <v>11</v>
      </c>
      <c r="D34" s="56"/>
      <c r="E34" s="56"/>
      <c r="F34" s="56"/>
      <c r="G34" s="56"/>
      <c r="H34" s="56"/>
      <c r="I34" s="56"/>
      <c r="J34" s="56"/>
      <c r="K34" s="38" t="n">
        <f aca="false">SUMPRODUCT(LEN(D34:J34))</f>
        <v>0</v>
      </c>
      <c r="L34" s="37" t="n">
        <f aca="false">SUM(K34:K36)</f>
        <v>2</v>
      </c>
    </row>
    <row r="35" customFormat="false" ht="15" hidden="false" customHeight="false" outlineLevel="0" collapsed="false">
      <c r="B35" s="63"/>
      <c r="C35" s="55" t="s">
        <v>19</v>
      </c>
      <c r="D35" s="56" t="s">
        <v>149</v>
      </c>
      <c r="E35" s="56"/>
      <c r="F35" s="56"/>
      <c r="G35" s="56"/>
      <c r="H35" s="56" t="s">
        <v>149</v>
      </c>
      <c r="I35" s="56"/>
      <c r="J35" s="56"/>
      <c r="K35" s="38" t="n">
        <f aca="false">SUMPRODUCT(LEN(D35:J35))</f>
        <v>2</v>
      </c>
      <c r="L35" s="37"/>
    </row>
    <row r="36" customFormat="false" ht="15" hidden="false" customHeight="false" outlineLevel="0" collapsed="false">
      <c r="B36" s="63"/>
      <c r="C36" s="55" t="s">
        <v>24</v>
      </c>
      <c r="D36" s="56"/>
      <c r="E36" s="56"/>
      <c r="F36" s="56"/>
      <c r="G36" s="56"/>
      <c r="H36" s="56"/>
      <c r="I36" s="56"/>
      <c r="J36" s="56"/>
      <c r="K36" s="38" t="n">
        <f aca="false">SUMPRODUCT(LEN(D36:J36))</f>
        <v>0</v>
      </c>
      <c r="L36" s="37"/>
    </row>
    <row r="37" customFormat="false" ht="15" hidden="false" customHeight="false" outlineLevel="0" collapsed="false">
      <c r="B37" s="64" t="s">
        <v>53</v>
      </c>
      <c r="C37" s="55" t="s">
        <v>11</v>
      </c>
      <c r="D37" s="56"/>
      <c r="E37" s="56"/>
      <c r="F37" s="56"/>
      <c r="G37" s="56"/>
      <c r="H37" s="56"/>
      <c r="I37" s="56"/>
      <c r="J37" s="56"/>
      <c r="K37" s="38" t="n">
        <f aca="false">SUMPRODUCT(LEN(D37:J37))</f>
        <v>0</v>
      </c>
      <c r="L37" s="37" t="n">
        <f aca="false">SUM(K37:K39)</f>
        <v>1</v>
      </c>
    </row>
    <row r="38" customFormat="false" ht="15" hidden="false" customHeight="false" outlineLevel="0" collapsed="false">
      <c r="B38" s="64"/>
      <c r="C38" s="55" t="s">
        <v>19</v>
      </c>
      <c r="D38" s="56"/>
      <c r="E38" s="56"/>
      <c r="F38" s="56"/>
      <c r="G38" s="56" t="s">
        <v>149</v>
      </c>
      <c r="H38" s="56"/>
      <c r="I38" s="56"/>
      <c r="J38" s="56"/>
      <c r="K38" s="38" t="n">
        <f aca="false">SUMPRODUCT(LEN(D38:J38))</f>
        <v>1</v>
      </c>
      <c r="L38" s="37"/>
    </row>
    <row r="39" customFormat="false" ht="15" hidden="false" customHeight="false" outlineLevel="0" collapsed="false">
      <c r="B39" s="64"/>
      <c r="C39" s="55" t="s">
        <v>24</v>
      </c>
      <c r="D39" s="56"/>
      <c r="E39" s="56"/>
      <c r="F39" s="56"/>
      <c r="G39" s="56"/>
      <c r="H39" s="56"/>
      <c r="I39" s="56"/>
      <c r="J39" s="56"/>
      <c r="K39" s="38" t="n">
        <f aca="false">SUMPRODUCT(LEN(D39:J39))</f>
        <v>0</v>
      </c>
      <c r="L39" s="37"/>
    </row>
    <row r="40" customFormat="false" ht="15" hidden="false" customHeight="false" outlineLevel="0" collapsed="false">
      <c r="B40" s="65" t="s">
        <v>56</v>
      </c>
      <c r="C40" s="55" t="s">
        <v>11</v>
      </c>
      <c r="D40" s="56"/>
      <c r="E40" s="56"/>
      <c r="F40" s="56"/>
      <c r="G40" s="56"/>
      <c r="H40" s="56"/>
      <c r="I40" s="56"/>
      <c r="J40" s="56"/>
      <c r="K40" s="38" t="n">
        <f aca="false">SUMPRODUCT(LEN(D40:J40))</f>
        <v>0</v>
      </c>
      <c r="L40" s="37" t="n">
        <f aca="false">SUM(K40:K42)</f>
        <v>2</v>
      </c>
    </row>
    <row r="41" customFormat="false" ht="15" hidden="false" customHeight="false" outlineLevel="0" collapsed="false">
      <c r="B41" s="65"/>
      <c r="C41" s="55" t="s">
        <v>19</v>
      </c>
      <c r="D41" s="56"/>
      <c r="E41" s="56"/>
      <c r="F41" s="56"/>
      <c r="G41" s="56"/>
      <c r="H41" s="56"/>
      <c r="I41" s="56"/>
      <c r="J41" s="56"/>
      <c r="K41" s="38" t="n">
        <f aca="false">SUMPRODUCT(LEN(D41:J41))</f>
        <v>0</v>
      </c>
      <c r="L41" s="37"/>
    </row>
    <row r="42" customFormat="false" ht="15" hidden="false" customHeight="false" outlineLevel="0" collapsed="false">
      <c r="B42" s="65"/>
      <c r="C42" s="55" t="s">
        <v>24</v>
      </c>
      <c r="D42" s="56"/>
      <c r="E42" s="56" t="s">
        <v>149</v>
      </c>
      <c r="F42" s="56"/>
      <c r="G42" s="56"/>
      <c r="H42" s="56"/>
      <c r="I42" s="56" t="s">
        <v>149</v>
      </c>
      <c r="J42" s="56"/>
      <c r="K42" s="38" t="n">
        <f aca="false">SUMPRODUCT(LEN(D42:J42))</f>
        <v>2</v>
      </c>
      <c r="L42" s="37"/>
    </row>
    <row r="43" customFormat="false" ht="15" hidden="false" customHeight="false" outlineLevel="0" collapsed="false">
      <c r="B43" s="66" t="s">
        <v>59</v>
      </c>
      <c r="C43" s="55" t="s">
        <v>11</v>
      </c>
      <c r="D43" s="56"/>
      <c r="E43" s="56"/>
      <c r="F43" s="56"/>
      <c r="G43" s="56"/>
      <c r="H43" s="56"/>
      <c r="I43" s="56"/>
      <c r="J43" s="56"/>
      <c r="K43" s="38" t="n">
        <f aca="false">SUMPRODUCT(LEN(D43:J43))</f>
        <v>0</v>
      </c>
      <c r="L43" s="37" t="n">
        <f aca="false">SUM(K43:K45)</f>
        <v>7</v>
      </c>
    </row>
    <row r="44" customFormat="false" ht="15" hidden="false" customHeight="false" outlineLevel="0" collapsed="false">
      <c r="B44" s="66"/>
      <c r="C44" s="55" t="s">
        <v>19</v>
      </c>
      <c r="D44" s="56"/>
      <c r="E44" s="56"/>
      <c r="F44" s="56"/>
      <c r="G44" s="56"/>
      <c r="H44" s="56"/>
      <c r="I44" s="56"/>
      <c r="J44" s="56"/>
      <c r="K44" s="38" t="n">
        <f aca="false">SUMPRODUCT(LEN(D44:J44))</f>
        <v>0</v>
      </c>
      <c r="L44" s="37"/>
    </row>
    <row r="45" customFormat="false" ht="15" hidden="false" customHeight="false" outlineLevel="0" collapsed="false">
      <c r="B45" s="66"/>
      <c r="C45" s="55" t="s">
        <v>24</v>
      </c>
      <c r="D45" s="56" t="s">
        <v>149</v>
      </c>
      <c r="E45" s="56" t="s">
        <v>149</v>
      </c>
      <c r="F45" s="56" t="s">
        <v>149</v>
      </c>
      <c r="G45" s="56" t="s">
        <v>150</v>
      </c>
      <c r="H45" s="56" t="s">
        <v>149</v>
      </c>
      <c r="I45" s="56" t="s">
        <v>149</v>
      </c>
      <c r="J45" s="56"/>
      <c r="K45" s="38" t="n">
        <f aca="false">SUMPRODUCT(LEN(D45:J45))</f>
        <v>7</v>
      </c>
      <c r="L45" s="37"/>
    </row>
    <row r="46" customFormat="false" ht="15" hidden="false" customHeight="false" outlineLevel="0" collapsed="false">
      <c r="B46" s="67" t="s">
        <v>62</v>
      </c>
      <c r="C46" s="55" t="s">
        <v>11</v>
      </c>
      <c r="D46" s="56"/>
      <c r="E46" s="56"/>
      <c r="F46" s="56"/>
      <c r="G46" s="56"/>
      <c r="H46" s="56"/>
      <c r="I46" s="56"/>
      <c r="J46" s="56"/>
      <c r="K46" s="38" t="n">
        <f aca="false">SUMPRODUCT(LEN(D46:J46))</f>
        <v>0</v>
      </c>
      <c r="L46" s="37" t="n">
        <f aca="false">SUM(K46:K48)</f>
        <v>2</v>
      </c>
    </row>
    <row r="47" customFormat="false" ht="15" hidden="false" customHeight="false" outlineLevel="0" collapsed="false">
      <c r="B47" s="67"/>
      <c r="C47" s="55" t="s">
        <v>19</v>
      </c>
      <c r="D47" s="56"/>
      <c r="E47" s="56"/>
      <c r="F47" s="56"/>
      <c r="G47" s="56"/>
      <c r="H47" s="56"/>
      <c r="I47" s="56"/>
      <c r="J47" s="56"/>
      <c r="K47" s="38" t="n">
        <f aca="false">SUMPRODUCT(LEN(D47:J47))</f>
        <v>0</v>
      </c>
      <c r="L47" s="37"/>
    </row>
    <row r="48" customFormat="false" ht="15" hidden="false" customHeight="false" outlineLevel="0" collapsed="false">
      <c r="B48" s="67"/>
      <c r="C48" s="55" t="s">
        <v>24</v>
      </c>
      <c r="D48" s="56"/>
      <c r="E48" s="56"/>
      <c r="F48" s="56" t="s">
        <v>149</v>
      </c>
      <c r="G48" s="56"/>
      <c r="H48" s="56"/>
      <c r="I48" s="56"/>
      <c r="J48" s="56" t="s">
        <v>149</v>
      </c>
      <c r="K48" s="38" t="n">
        <f aca="false">SUMPRODUCT(LEN(D48:J48))</f>
        <v>2</v>
      </c>
      <c r="L48" s="37"/>
    </row>
    <row r="50" customFormat="false" ht="19.5" hidden="false" customHeight="true" outlineLevel="0" collapsed="false">
      <c r="B50" s="51" t="str">
        <f aca="false">"TABLEAU 2/12  -  PROGRAMME DE MAI 2027"&amp;IF($C$6="mai 2027","          &lt;&lt;&lt; MOIS ACTUELLEMENT FILTRE","")</f>
        <v>TABLEAU 2/12  -  PROGRAMME DE MAI 2027</v>
      </c>
      <c r="C50" s="51"/>
      <c r="D50" s="51"/>
      <c r="E50" s="51"/>
      <c r="F50" s="51"/>
      <c r="G50" s="51"/>
      <c r="H50" s="51"/>
      <c r="I50" s="51"/>
      <c r="J50" s="51"/>
      <c r="L50" s="52" t="s">
        <v>143</v>
      </c>
    </row>
    <row r="51" customFormat="false" ht="25.5" hidden="false" customHeight="true" outlineLevel="0" collapsed="false">
      <c r="B51" s="53" t="s">
        <v>84</v>
      </c>
      <c r="C51" s="53" t="s">
        <v>144</v>
      </c>
      <c r="D51" s="53" t="s">
        <v>27</v>
      </c>
      <c r="E51" s="53" t="s">
        <v>28</v>
      </c>
      <c r="F51" s="53" t="s">
        <v>29</v>
      </c>
      <c r="G51" s="53" t="s">
        <v>30</v>
      </c>
      <c r="H51" s="53" t="s">
        <v>31</v>
      </c>
      <c r="I51" s="53" t="s">
        <v>32</v>
      </c>
      <c r="J51" s="53" t="s">
        <v>33</v>
      </c>
      <c r="K51" s="53" t="s">
        <v>145</v>
      </c>
      <c r="L51" s="53" t="s">
        <v>146</v>
      </c>
    </row>
    <row r="52" customFormat="false" ht="15" hidden="false" customHeight="false" outlineLevel="0" collapsed="false">
      <c r="B52" s="54" t="s">
        <v>12</v>
      </c>
      <c r="C52" s="55" t="s">
        <v>11</v>
      </c>
      <c r="D52" s="56" t="s">
        <v>147</v>
      </c>
      <c r="E52" s="56" t="s">
        <v>147</v>
      </c>
      <c r="F52" s="56" t="s">
        <v>147</v>
      </c>
      <c r="G52" s="56" t="s">
        <v>147</v>
      </c>
      <c r="H52" s="56" t="s">
        <v>147</v>
      </c>
      <c r="I52" s="56" t="s">
        <v>147</v>
      </c>
      <c r="J52" s="56" t="s">
        <v>147</v>
      </c>
      <c r="K52" s="38" t="n">
        <f aca="false">SUMPRODUCT(LEN(D52:J52))</f>
        <v>7</v>
      </c>
      <c r="L52" s="37" t="n">
        <f aca="false">SUM(K52:K54)</f>
        <v>11</v>
      </c>
    </row>
    <row r="53" customFormat="false" ht="15" hidden="false" customHeight="false" outlineLevel="0" collapsed="false">
      <c r="B53" s="54"/>
      <c r="C53" s="55" t="s">
        <v>19</v>
      </c>
      <c r="D53" s="56" t="s">
        <v>147</v>
      </c>
      <c r="E53" s="56"/>
      <c r="F53" s="56"/>
      <c r="G53" s="56"/>
      <c r="H53" s="56" t="s">
        <v>147</v>
      </c>
      <c r="I53" s="56"/>
      <c r="J53" s="56"/>
      <c r="K53" s="38" t="n">
        <f aca="false">SUMPRODUCT(LEN(D53:J53))</f>
        <v>2</v>
      </c>
      <c r="L53" s="37"/>
    </row>
    <row r="54" customFormat="false" ht="15" hidden="false" customHeight="false" outlineLevel="0" collapsed="false">
      <c r="B54" s="54"/>
      <c r="C54" s="55" t="s">
        <v>24</v>
      </c>
      <c r="D54" s="56" t="s">
        <v>148</v>
      </c>
      <c r="E54" s="56"/>
      <c r="F54" s="56"/>
      <c r="G54" s="56"/>
      <c r="H54" s="56"/>
      <c r="I54" s="56"/>
      <c r="J54" s="56"/>
      <c r="K54" s="38" t="n">
        <f aca="false">SUMPRODUCT(LEN(D54:J54))</f>
        <v>2</v>
      </c>
      <c r="L54" s="37"/>
    </row>
    <row r="55" customFormat="false" ht="15" hidden="false" customHeight="false" outlineLevel="0" collapsed="false">
      <c r="B55" s="57" t="s">
        <v>20</v>
      </c>
      <c r="C55" s="55" t="s">
        <v>11</v>
      </c>
      <c r="D55" s="56"/>
      <c r="E55" s="56"/>
      <c r="F55" s="56"/>
      <c r="G55" s="56"/>
      <c r="H55" s="56"/>
      <c r="I55" s="56"/>
      <c r="J55" s="56" t="s">
        <v>147</v>
      </c>
      <c r="K55" s="38" t="n">
        <f aca="false">SUMPRODUCT(LEN(D55:J55))</f>
        <v>1</v>
      </c>
      <c r="L55" s="37" t="n">
        <f aca="false">SUM(K55:K57)</f>
        <v>3</v>
      </c>
    </row>
    <row r="56" customFormat="false" ht="15" hidden="false" customHeight="false" outlineLevel="0" collapsed="false">
      <c r="B56" s="57"/>
      <c r="C56" s="55" t="s">
        <v>19</v>
      </c>
      <c r="D56" s="56"/>
      <c r="E56" s="56" t="s">
        <v>147</v>
      </c>
      <c r="F56" s="56"/>
      <c r="G56" s="56"/>
      <c r="H56" s="56" t="s">
        <v>147</v>
      </c>
      <c r="I56" s="56"/>
      <c r="J56" s="56"/>
      <c r="K56" s="38" t="n">
        <f aca="false">SUMPRODUCT(LEN(D56:J56))</f>
        <v>2</v>
      </c>
      <c r="L56" s="37"/>
    </row>
    <row r="57" customFormat="false" ht="15" hidden="false" customHeight="false" outlineLevel="0" collapsed="false">
      <c r="B57" s="57"/>
      <c r="C57" s="55" t="s">
        <v>24</v>
      </c>
      <c r="D57" s="56"/>
      <c r="E57" s="56"/>
      <c r="F57" s="56"/>
      <c r="G57" s="56"/>
      <c r="H57" s="56"/>
      <c r="I57" s="56"/>
      <c r="J57" s="56"/>
      <c r="K57" s="38" t="n">
        <f aca="false">SUMPRODUCT(LEN(D57:J57))</f>
        <v>0</v>
      </c>
      <c r="L57" s="37"/>
    </row>
    <row r="58" customFormat="false" ht="15" hidden="false" customHeight="false" outlineLevel="0" collapsed="false">
      <c r="B58" s="58" t="s">
        <v>25</v>
      </c>
      <c r="C58" s="55" t="s">
        <v>11</v>
      </c>
      <c r="D58" s="56"/>
      <c r="E58" s="56"/>
      <c r="F58" s="56"/>
      <c r="G58" s="56"/>
      <c r="H58" s="56"/>
      <c r="I58" s="56"/>
      <c r="J58" s="56"/>
      <c r="K58" s="38" t="n">
        <f aca="false">SUMPRODUCT(LEN(D58:J58))</f>
        <v>0</v>
      </c>
      <c r="L58" s="37" t="n">
        <f aca="false">SUM(K58:K60)</f>
        <v>2</v>
      </c>
    </row>
    <row r="59" customFormat="false" ht="15" hidden="false" customHeight="false" outlineLevel="0" collapsed="false">
      <c r="B59" s="58"/>
      <c r="C59" s="55" t="s">
        <v>19</v>
      </c>
      <c r="D59" s="56"/>
      <c r="E59" s="56"/>
      <c r="F59" s="56" t="s">
        <v>147</v>
      </c>
      <c r="G59" s="56"/>
      <c r="H59" s="56"/>
      <c r="I59" s="56" t="s">
        <v>147</v>
      </c>
      <c r="J59" s="56"/>
      <c r="K59" s="38" t="n">
        <f aca="false">SUMPRODUCT(LEN(D59:J59))</f>
        <v>2</v>
      </c>
      <c r="L59" s="37"/>
    </row>
    <row r="60" customFormat="false" ht="15" hidden="false" customHeight="false" outlineLevel="0" collapsed="false">
      <c r="B60" s="58"/>
      <c r="C60" s="55" t="s">
        <v>24</v>
      </c>
      <c r="D60" s="56"/>
      <c r="E60" s="56"/>
      <c r="F60" s="56"/>
      <c r="G60" s="56"/>
      <c r="H60" s="56"/>
      <c r="I60" s="56"/>
      <c r="J60" s="56"/>
      <c r="K60" s="38" t="n">
        <f aca="false">SUMPRODUCT(LEN(D60:J60))</f>
        <v>0</v>
      </c>
      <c r="L60" s="37"/>
    </row>
    <row r="61" customFormat="false" ht="15" hidden="false" customHeight="false" outlineLevel="0" collapsed="false">
      <c r="B61" s="59" t="s">
        <v>36</v>
      </c>
      <c r="C61" s="55" t="s">
        <v>11</v>
      </c>
      <c r="D61" s="56"/>
      <c r="E61" s="56"/>
      <c r="F61" s="56"/>
      <c r="G61" s="56"/>
      <c r="H61" s="56"/>
      <c r="I61" s="56"/>
      <c r="J61" s="56"/>
      <c r="K61" s="38" t="n">
        <f aca="false">SUMPRODUCT(LEN(D61:J61))</f>
        <v>0</v>
      </c>
      <c r="L61" s="37" t="n">
        <f aca="false">SUM(K61:K63)</f>
        <v>6</v>
      </c>
    </row>
    <row r="62" customFormat="false" ht="15" hidden="false" customHeight="false" outlineLevel="0" collapsed="false">
      <c r="B62" s="59"/>
      <c r="C62" s="55" t="s">
        <v>19</v>
      </c>
      <c r="D62" s="56"/>
      <c r="E62" s="56"/>
      <c r="F62" s="56" t="s">
        <v>149</v>
      </c>
      <c r="G62" s="56"/>
      <c r="H62" s="56"/>
      <c r="I62" s="56"/>
      <c r="J62" s="56"/>
      <c r="K62" s="38" t="n">
        <f aca="false">SUMPRODUCT(LEN(D62:J62))</f>
        <v>1</v>
      </c>
      <c r="L62" s="37"/>
    </row>
    <row r="63" customFormat="false" ht="15" hidden="false" customHeight="false" outlineLevel="0" collapsed="false">
      <c r="B63" s="59"/>
      <c r="C63" s="55" t="s">
        <v>24</v>
      </c>
      <c r="D63" s="56" t="s">
        <v>149</v>
      </c>
      <c r="E63" s="56" t="s">
        <v>149</v>
      </c>
      <c r="F63" s="56" t="s">
        <v>149</v>
      </c>
      <c r="G63" s="56" t="s">
        <v>149</v>
      </c>
      <c r="H63" s="56" t="s">
        <v>149</v>
      </c>
      <c r="I63" s="56"/>
      <c r="J63" s="56"/>
      <c r="K63" s="38" t="n">
        <f aca="false">SUMPRODUCT(LEN(D63:J63))</f>
        <v>5</v>
      </c>
      <c r="L63" s="37"/>
    </row>
    <row r="64" customFormat="false" ht="15" hidden="false" customHeight="false" outlineLevel="0" collapsed="false">
      <c r="B64" s="60" t="s">
        <v>40</v>
      </c>
      <c r="C64" s="55" t="s">
        <v>11</v>
      </c>
      <c r="D64" s="56"/>
      <c r="E64" s="56"/>
      <c r="F64" s="56"/>
      <c r="G64" s="56"/>
      <c r="H64" s="56"/>
      <c r="I64" s="56"/>
      <c r="J64" s="56"/>
      <c r="K64" s="38" t="n">
        <f aca="false">SUMPRODUCT(LEN(D64:J64))</f>
        <v>0</v>
      </c>
      <c r="L64" s="37" t="n">
        <f aca="false">SUM(K64:K66)</f>
        <v>4</v>
      </c>
    </row>
    <row r="65" customFormat="false" ht="15" hidden="false" customHeight="false" outlineLevel="0" collapsed="false">
      <c r="B65" s="60"/>
      <c r="C65" s="55" t="s">
        <v>19</v>
      </c>
      <c r="D65" s="56"/>
      <c r="E65" s="56"/>
      <c r="F65" s="56"/>
      <c r="G65" s="56"/>
      <c r="H65" s="56"/>
      <c r="I65" s="56"/>
      <c r="J65" s="56"/>
      <c r="K65" s="38" t="n">
        <f aca="false">SUMPRODUCT(LEN(D65:J65))</f>
        <v>0</v>
      </c>
      <c r="L65" s="37"/>
    </row>
    <row r="66" customFormat="false" ht="15" hidden="false" customHeight="false" outlineLevel="0" collapsed="false">
      <c r="B66" s="60"/>
      <c r="C66" s="55" t="s">
        <v>24</v>
      </c>
      <c r="D66" s="56" t="s">
        <v>149</v>
      </c>
      <c r="E66" s="56"/>
      <c r="F66" s="56" t="s">
        <v>149</v>
      </c>
      <c r="G66" s="56"/>
      <c r="H66" s="56" t="s">
        <v>149</v>
      </c>
      <c r="I66" s="56"/>
      <c r="J66" s="56" t="s">
        <v>149</v>
      </c>
      <c r="K66" s="38" t="n">
        <f aca="false">SUMPRODUCT(LEN(D66:J66))</f>
        <v>4</v>
      </c>
      <c r="L66" s="37"/>
    </row>
    <row r="67" customFormat="false" ht="15" hidden="false" customHeight="false" outlineLevel="0" collapsed="false">
      <c r="B67" s="61" t="s">
        <v>14</v>
      </c>
      <c r="C67" s="55" t="s">
        <v>11</v>
      </c>
      <c r="D67" s="56"/>
      <c r="E67" s="56"/>
      <c r="F67" s="56"/>
      <c r="G67" s="56"/>
      <c r="H67" s="56"/>
      <c r="I67" s="56"/>
      <c r="J67" s="56"/>
      <c r="K67" s="38" t="n">
        <f aca="false">SUMPRODUCT(LEN(D67:J67))</f>
        <v>0</v>
      </c>
      <c r="L67" s="37" t="n">
        <f aca="false">SUM(K67:K69)</f>
        <v>3</v>
      </c>
    </row>
    <row r="68" customFormat="false" ht="15" hidden="false" customHeight="false" outlineLevel="0" collapsed="false">
      <c r="B68" s="61"/>
      <c r="C68" s="55" t="s">
        <v>19</v>
      </c>
      <c r="D68" s="56"/>
      <c r="E68" s="56"/>
      <c r="F68" s="56"/>
      <c r="G68" s="56"/>
      <c r="H68" s="56"/>
      <c r="I68" s="56"/>
      <c r="J68" s="56"/>
      <c r="K68" s="38" t="n">
        <f aca="false">SUMPRODUCT(LEN(D68:J68))</f>
        <v>0</v>
      </c>
      <c r="L68" s="37"/>
    </row>
    <row r="69" customFormat="false" ht="15" hidden="false" customHeight="false" outlineLevel="0" collapsed="false">
      <c r="B69" s="61"/>
      <c r="C69" s="55" t="s">
        <v>24</v>
      </c>
      <c r="D69" s="56" t="s">
        <v>149</v>
      </c>
      <c r="E69" s="56"/>
      <c r="F69" s="56"/>
      <c r="G69" s="56" t="s">
        <v>149</v>
      </c>
      <c r="H69" s="56"/>
      <c r="I69" s="56" t="s">
        <v>149</v>
      </c>
      <c r="J69" s="56"/>
      <c r="K69" s="38" t="n">
        <f aca="false">SUMPRODUCT(LEN(D69:J69))</f>
        <v>3</v>
      </c>
      <c r="L69" s="37"/>
    </row>
    <row r="70" customFormat="false" ht="15" hidden="false" customHeight="false" outlineLevel="0" collapsed="false">
      <c r="B70" s="62" t="s">
        <v>46</v>
      </c>
      <c r="C70" s="55" t="s">
        <v>11</v>
      </c>
      <c r="D70" s="56"/>
      <c r="E70" s="56"/>
      <c r="F70" s="56"/>
      <c r="G70" s="56"/>
      <c r="H70" s="56"/>
      <c r="I70" s="56"/>
      <c r="J70" s="56"/>
      <c r="K70" s="38" t="n">
        <f aca="false">SUMPRODUCT(LEN(D70:J70))</f>
        <v>0</v>
      </c>
      <c r="L70" s="37" t="n">
        <f aca="false">SUM(K70:K72)</f>
        <v>3</v>
      </c>
    </row>
    <row r="71" customFormat="false" ht="15" hidden="false" customHeight="false" outlineLevel="0" collapsed="false">
      <c r="B71" s="62"/>
      <c r="C71" s="55" t="s">
        <v>19</v>
      </c>
      <c r="D71" s="56"/>
      <c r="E71" s="56"/>
      <c r="F71" s="56"/>
      <c r="G71" s="56"/>
      <c r="H71" s="56"/>
      <c r="I71" s="56"/>
      <c r="J71" s="56"/>
      <c r="K71" s="38" t="n">
        <f aca="false">SUMPRODUCT(LEN(D71:J71))</f>
        <v>0</v>
      </c>
      <c r="L71" s="37"/>
    </row>
    <row r="72" customFormat="false" ht="15" hidden="false" customHeight="false" outlineLevel="0" collapsed="false">
      <c r="B72" s="62"/>
      <c r="C72" s="55" t="s">
        <v>24</v>
      </c>
      <c r="D72" s="56"/>
      <c r="E72" s="56" t="s">
        <v>149</v>
      </c>
      <c r="F72" s="56"/>
      <c r="G72" s="56" t="s">
        <v>149</v>
      </c>
      <c r="H72" s="56"/>
      <c r="I72" s="56" t="s">
        <v>149</v>
      </c>
      <c r="J72" s="56"/>
      <c r="K72" s="38" t="n">
        <f aca="false">SUMPRODUCT(LEN(D72:J72))</f>
        <v>3</v>
      </c>
      <c r="L72" s="37"/>
    </row>
    <row r="73" customFormat="false" ht="15" hidden="false" customHeight="false" outlineLevel="0" collapsed="false">
      <c r="B73" s="63" t="s">
        <v>49</v>
      </c>
      <c r="C73" s="55" t="s">
        <v>11</v>
      </c>
      <c r="D73" s="56"/>
      <c r="E73" s="56"/>
      <c r="F73" s="56"/>
      <c r="G73" s="56"/>
      <c r="H73" s="56"/>
      <c r="I73" s="56"/>
      <c r="J73" s="56"/>
      <c r="K73" s="38" t="n">
        <f aca="false">SUMPRODUCT(LEN(D73:J73))</f>
        <v>0</v>
      </c>
      <c r="L73" s="37" t="n">
        <f aca="false">SUM(K73:K75)</f>
        <v>2</v>
      </c>
    </row>
    <row r="74" customFormat="false" ht="15" hidden="false" customHeight="false" outlineLevel="0" collapsed="false">
      <c r="B74" s="63"/>
      <c r="C74" s="55" t="s">
        <v>19</v>
      </c>
      <c r="D74" s="56" t="s">
        <v>149</v>
      </c>
      <c r="E74" s="56"/>
      <c r="F74" s="56"/>
      <c r="G74" s="56"/>
      <c r="H74" s="56" t="s">
        <v>149</v>
      </c>
      <c r="I74" s="56"/>
      <c r="J74" s="56"/>
      <c r="K74" s="38" t="n">
        <f aca="false">SUMPRODUCT(LEN(D74:J74))</f>
        <v>2</v>
      </c>
      <c r="L74" s="37"/>
    </row>
    <row r="75" customFormat="false" ht="15" hidden="false" customHeight="false" outlineLevel="0" collapsed="false">
      <c r="B75" s="63"/>
      <c r="C75" s="55" t="s">
        <v>24</v>
      </c>
      <c r="D75" s="56"/>
      <c r="E75" s="56"/>
      <c r="F75" s="56"/>
      <c r="G75" s="56"/>
      <c r="H75" s="56"/>
      <c r="I75" s="56"/>
      <c r="J75" s="56"/>
      <c r="K75" s="38" t="n">
        <f aca="false">SUMPRODUCT(LEN(D75:J75))</f>
        <v>0</v>
      </c>
      <c r="L75" s="37"/>
    </row>
    <row r="76" customFormat="false" ht="15" hidden="false" customHeight="false" outlineLevel="0" collapsed="false">
      <c r="B76" s="64" t="s">
        <v>53</v>
      </c>
      <c r="C76" s="55" t="s">
        <v>11</v>
      </c>
      <c r="D76" s="56"/>
      <c r="E76" s="56"/>
      <c r="F76" s="56"/>
      <c r="G76" s="56"/>
      <c r="H76" s="56"/>
      <c r="I76" s="56"/>
      <c r="J76" s="56"/>
      <c r="K76" s="38" t="n">
        <f aca="false">SUMPRODUCT(LEN(D76:J76))</f>
        <v>0</v>
      </c>
      <c r="L76" s="37" t="n">
        <f aca="false">SUM(K76:K78)</f>
        <v>1</v>
      </c>
    </row>
    <row r="77" customFormat="false" ht="15" hidden="false" customHeight="false" outlineLevel="0" collapsed="false">
      <c r="B77" s="64"/>
      <c r="C77" s="55" t="s">
        <v>19</v>
      </c>
      <c r="D77" s="56"/>
      <c r="E77" s="56"/>
      <c r="F77" s="56"/>
      <c r="G77" s="56" t="s">
        <v>149</v>
      </c>
      <c r="H77" s="56"/>
      <c r="I77" s="56"/>
      <c r="J77" s="56"/>
      <c r="K77" s="38" t="n">
        <f aca="false">SUMPRODUCT(LEN(D77:J77))</f>
        <v>1</v>
      </c>
      <c r="L77" s="37"/>
    </row>
    <row r="78" customFormat="false" ht="15" hidden="false" customHeight="false" outlineLevel="0" collapsed="false">
      <c r="B78" s="64"/>
      <c r="C78" s="55" t="s">
        <v>24</v>
      </c>
      <c r="D78" s="56"/>
      <c r="E78" s="56"/>
      <c r="F78" s="56"/>
      <c r="G78" s="56"/>
      <c r="H78" s="56"/>
      <c r="I78" s="56"/>
      <c r="J78" s="56"/>
      <c r="K78" s="38" t="n">
        <f aca="false">SUMPRODUCT(LEN(D78:J78))</f>
        <v>0</v>
      </c>
      <c r="L78" s="37"/>
    </row>
    <row r="79" customFormat="false" ht="15" hidden="false" customHeight="false" outlineLevel="0" collapsed="false">
      <c r="B79" s="65" t="s">
        <v>56</v>
      </c>
      <c r="C79" s="55" t="s">
        <v>11</v>
      </c>
      <c r="D79" s="56"/>
      <c r="E79" s="56"/>
      <c r="F79" s="56"/>
      <c r="G79" s="56"/>
      <c r="H79" s="56"/>
      <c r="I79" s="56"/>
      <c r="J79" s="56"/>
      <c r="K79" s="38" t="n">
        <f aca="false">SUMPRODUCT(LEN(D79:J79))</f>
        <v>0</v>
      </c>
      <c r="L79" s="37" t="n">
        <f aca="false">SUM(K79:K81)</f>
        <v>2</v>
      </c>
    </row>
    <row r="80" customFormat="false" ht="15" hidden="false" customHeight="false" outlineLevel="0" collapsed="false">
      <c r="B80" s="65"/>
      <c r="C80" s="55" t="s">
        <v>19</v>
      </c>
      <c r="D80" s="56"/>
      <c r="E80" s="56"/>
      <c r="F80" s="56"/>
      <c r="G80" s="56"/>
      <c r="H80" s="56"/>
      <c r="I80" s="56"/>
      <c r="J80" s="56"/>
      <c r="K80" s="38" t="n">
        <f aca="false">SUMPRODUCT(LEN(D80:J80))</f>
        <v>0</v>
      </c>
      <c r="L80" s="37"/>
    </row>
    <row r="81" customFormat="false" ht="15" hidden="false" customHeight="false" outlineLevel="0" collapsed="false">
      <c r="B81" s="65"/>
      <c r="C81" s="55" t="s">
        <v>24</v>
      </c>
      <c r="D81" s="56"/>
      <c r="E81" s="56" t="s">
        <v>149</v>
      </c>
      <c r="F81" s="56"/>
      <c r="G81" s="56"/>
      <c r="H81" s="56"/>
      <c r="I81" s="56" t="s">
        <v>149</v>
      </c>
      <c r="J81" s="56"/>
      <c r="K81" s="38" t="n">
        <f aca="false">SUMPRODUCT(LEN(D81:J81))</f>
        <v>2</v>
      </c>
      <c r="L81" s="37"/>
    </row>
    <row r="82" customFormat="false" ht="15" hidden="false" customHeight="false" outlineLevel="0" collapsed="false">
      <c r="B82" s="66" t="s">
        <v>59</v>
      </c>
      <c r="C82" s="55" t="s">
        <v>11</v>
      </c>
      <c r="D82" s="56"/>
      <c r="E82" s="56"/>
      <c r="F82" s="56"/>
      <c r="G82" s="56"/>
      <c r="H82" s="56"/>
      <c r="I82" s="56"/>
      <c r="J82" s="56"/>
      <c r="K82" s="38" t="n">
        <f aca="false">SUMPRODUCT(LEN(D82:J82))</f>
        <v>0</v>
      </c>
      <c r="L82" s="37" t="n">
        <f aca="false">SUM(K82:K84)</f>
        <v>7</v>
      </c>
    </row>
    <row r="83" customFormat="false" ht="15" hidden="false" customHeight="false" outlineLevel="0" collapsed="false">
      <c r="B83" s="66"/>
      <c r="C83" s="55" t="s">
        <v>19</v>
      </c>
      <c r="D83" s="56"/>
      <c r="E83" s="56"/>
      <c r="F83" s="56"/>
      <c r="G83" s="56"/>
      <c r="H83" s="56"/>
      <c r="I83" s="56"/>
      <c r="J83" s="56"/>
      <c r="K83" s="38" t="n">
        <f aca="false">SUMPRODUCT(LEN(D83:J83))</f>
        <v>0</v>
      </c>
      <c r="L83" s="37"/>
    </row>
    <row r="84" customFormat="false" ht="15" hidden="false" customHeight="false" outlineLevel="0" collapsed="false">
      <c r="B84" s="66"/>
      <c r="C84" s="55" t="s">
        <v>24</v>
      </c>
      <c r="D84" s="56" t="s">
        <v>149</v>
      </c>
      <c r="E84" s="56" t="s">
        <v>149</v>
      </c>
      <c r="F84" s="56" t="s">
        <v>149</v>
      </c>
      <c r="G84" s="56" t="s">
        <v>150</v>
      </c>
      <c r="H84" s="56" t="s">
        <v>149</v>
      </c>
      <c r="I84" s="56" t="s">
        <v>149</v>
      </c>
      <c r="J84" s="56"/>
      <c r="K84" s="38" t="n">
        <f aca="false">SUMPRODUCT(LEN(D84:J84))</f>
        <v>7</v>
      </c>
      <c r="L84" s="37"/>
    </row>
    <row r="85" customFormat="false" ht="15" hidden="false" customHeight="false" outlineLevel="0" collapsed="false">
      <c r="B85" s="67" t="s">
        <v>62</v>
      </c>
      <c r="C85" s="55" t="s">
        <v>11</v>
      </c>
      <c r="D85" s="56"/>
      <c r="E85" s="56"/>
      <c r="F85" s="56"/>
      <c r="G85" s="56"/>
      <c r="H85" s="56"/>
      <c r="I85" s="56"/>
      <c r="J85" s="56"/>
      <c r="K85" s="38" t="n">
        <f aca="false">SUMPRODUCT(LEN(D85:J85))</f>
        <v>0</v>
      </c>
      <c r="L85" s="37" t="n">
        <f aca="false">SUM(K85:K87)</f>
        <v>2</v>
      </c>
    </row>
    <row r="86" customFormat="false" ht="15" hidden="false" customHeight="false" outlineLevel="0" collapsed="false">
      <c r="B86" s="67"/>
      <c r="C86" s="55" t="s">
        <v>19</v>
      </c>
      <c r="D86" s="56"/>
      <c r="E86" s="56"/>
      <c r="F86" s="56"/>
      <c r="G86" s="56"/>
      <c r="H86" s="56"/>
      <c r="I86" s="56"/>
      <c r="J86" s="56"/>
      <c r="K86" s="38" t="n">
        <f aca="false">SUMPRODUCT(LEN(D86:J86))</f>
        <v>0</v>
      </c>
      <c r="L86" s="37"/>
    </row>
    <row r="87" customFormat="false" ht="15" hidden="false" customHeight="false" outlineLevel="0" collapsed="false">
      <c r="B87" s="67"/>
      <c r="C87" s="55" t="s">
        <v>24</v>
      </c>
      <c r="D87" s="56"/>
      <c r="E87" s="56"/>
      <c r="F87" s="56" t="s">
        <v>149</v>
      </c>
      <c r="G87" s="56"/>
      <c r="H87" s="56"/>
      <c r="I87" s="56"/>
      <c r="J87" s="56" t="s">
        <v>149</v>
      </c>
      <c r="K87" s="38" t="n">
        <f aca="false">SUMPRODUCT(LEN(D87:J87))</f>
        <v>2</v>
      </c>
      <c r="L87" s="37"/>
    </row>
    <row r="89" customFormat="false" ht="19.5" hidden="false" customHeight="true" outlineLevel="0" collapsed="false">
      <c r="B89" s="51" t="str">
        <f aca="false">"TABLEAU 3/12  -  PROGRAMME DE JUIN 2027"&amp;IF($C$6="juin 2027","          &lt;&lt;&lt; MOIS ACTUELLEMENT FILTRE","")</f>
        <v>TABLEAU 3/12  -  PROGRAMME DE JUIN 2027</v>
      </c>
      <c r="C89" s="51"/>
      <c r="D89" s="51"/>
      <c r="E89" s="51"/>
      <c r="F89" s="51"/>
      <c r="G89" s="51"/>
      <c r="H89" s="51"/>
      <c r="I89" s="51"/>
      <c r="J89" s="51"/>
      <c r="L89" s="52" t="s">
        <v>143</v>
      </c>
    </row>
    <row r="90" customFormat="false" ht="25.5" hidden="false" customHeight="true" outlineLevel="0" collapsed="false">
      <c r="B90" s="53" t="s">
        <v>84</v>
      </c>
      <c r="C90" s="53" t="s">
        <v>144</v>
      </c>
      <c r="D90" s="53" t="s">
        <v>27</v>
      </c>
      <c r="E90" s="53" t="s">
        <v>28</v>
      </c>
      <c r="F90" s="53" t="s">
        <v>29</v>
      </c>
      <c r="G90" s="53" t="s">
        <v>30</v>
      </c>
      <c r="H90" s="53" t="s">
        <v>31</v>
      </c>
      <c r="I90" s="53" t="s">
        <v>32</v>
      </c>
      <c r="J90" s="53" t="s">
        <v>33</v>
      </c>
      <c r="K90" s="53" t="s">
        <v>145</v>
      </c>
      <c r="L90" s="53" t="s">
        <v>146</v>
      </c>
    </row>
    <row r="91" customFormat="false" ht="15" hidden="false" customHeight="false" outlineLevel="0" collapsed="false">
      <c r="B91" s="54" t="s">
        <v>12</v>
      </c>
      <c r="C91" s="55" t="s">
        <v>11</v>
      </c>
      <c r="D91" s="56" t="s">
        <v>147</v>
      </c>
      <c r="E91" s="56" t="s">
        <v>147</v>
      </c>
      <c r="F91" s="56" t="s">
        <v>147</v>
      </c>
      <c r="G91" s="56" t="s">
        <v>147</v>
      </c>
      <c r="H91" s="56" t="s">
        <v>147</v>
      </c>
      <c r="I91" s="56" t="s">
        <v>147</v>
      </c>
      <c r="J91" s="56" t="s">
        <v>147</v>
      </c>
      <c r="K91" s="38" t="n">
        <f aca="false">SUMPRODUCT(LEN(D91:J91))</f>
        <v>7</v>
      </c>
      <c r="L91" s="37" t="n">
        <f aca="false">SUM(K91:K93)</f>
        <v>11</v>
      </c>
    </row>
    <row r="92" customFormat="false" ht="15" hidden="false" customHeight="false" outlineLevel="0" collapsed="false">
      <c r="B92" s="54"/>
      <c r="C92" s="55" t="s">
        <v>19</v>
      </c>
      <c r="D92" s="56" t="s">
        <v>147</v>
      </c>
      <c r="E92" s="56"/>
      <c r="F92" s="56"/>
      <c r="G92" s="56"/>
      <c r="H92" s="56" t="s">
        <v>147</v>
      </c>
      <c r="I92" s="56"/>
      <c r="J92" s="56"/>
      <c r="K92" s="38" t="n">
        <f aca="false">SUMPRODUCT(LEN(D92:J92))</f>
        <v>2</v>
      </c>
      <c r="L92" s="37"/>
    </row>
    <row r="93" customFormat="false" ht="15" hidden="false" customHeight="false" outlineLevel="0" collapsed="false">
      <c r="B93" s="54"/>
      <c r="C93" s="55" t="s">
        <v>24</v>
      </c>
      <c r="D93" s="56" t="s">
        <v>148</v>
      </c>
      <c r="E93" s="56"/>
      <c r="F93" s="56"/>
      <c r="G93" s="56"/>
      <c r="H93" s="56"/>
      <c r="I93" s="56"/>
      <c r="J93" s="56"/>
      <c r="K93" s="38" t="n">
        <f aca="false">SUMPRODUCT(LEN(D93:J93))</f>
        <v>2</v>
      </c>
      <c r="L93" s="37"/>
    </row>
    <row r="94" customFormat="false" ht="15" hidden="false" customHeight="false" outlineLevel="0" collapsed="false">
      <c r="B94" s="57" t="s">
        <v>20</v>
      </c>
      <c r="C94" s="55" t="s">
        <v>11</v>
      </c>
      <c r="D94" s="56"/>
      <c r="E94" s="56"/>
      <c r="F94" s="56"/>
      <c r="G94" s="56"/>
      <c r="H94" s="56"/>
      <c r="I94" s="56"/>
      <c r="J94" s="56" t="s">
        <v>147</v>
      </c>
      <c r="K94" s="38" t="n">
        <f aca="false">SUMPRODUCT(LEN(D94:J94))</f>
        <v>1</v>
      </c>
      <c r="L94" s="37" t="n">
        <f aca="false">SUM(K94:K96)</f>
        <v>3</v>
      </c>
    </row>
    <row r="95" customFormat="false" ht="15" hidden="false" customHeight="false" outlineLevel="0" collapsed="false">
      <c r="B95" s="57"/>
      <c r="C95" s="55" t="s">
        <v>19</v>
      </c>
      <c r="D95" s="56"/>
      <c r="E95" s="56" t="s">
        <v>147</v>
      </c>
      <c r="F95" s="56"/>
      <c r="G95" s="56"/>
      <c r="H95" s="56" t="s">
        <v>147</v>
      </c>
      <c r="I95" s="56"/>
      <c r="J95" s="56"/>
      <c r="K95" s="38" t="n">
        <f aca="false">SUMPRODUCT(LEN(D95:J95))</f>
        <v>2</v>
      </c>
      <c r="L95" s="37"/>
    </row>
    <row r="96" customFormat="false" ht="15" hidden="false" customHeight="false" outlineLevel="0" collapsed="false">
      <c r="B96" s="57"/>
      <c r="C96" s="55" t="s">
        <v>24</v>
      </c>
      <c r="D96" s="56"/>
      <c r="E96" s="56"/>
      <c r="F96" s="56"/>
      <c r="G96" s="56"/>
      <c r="H96" s="56"/>
      <c r="I96" s="56"/>
      <c r="J96" s="56"/>
      <c r="K96" s="38" t="n">
        <f aca="false">SUMPRODUCT(LEN(D96:J96))</f>
        <v>0</v>
      </c>
      <c r="L96" s="37"/>
    </row>
    <row r="97" customFormat="false" ht="15" hidden="false" customHeight="false" outlineLevel="0" collapsed="false">
      <c r="B97" s="58" t="s">
        <v>25</v>
      </c>
      <c r="C97" s="55" t="s">
        <v>11</v>
      </c>
      <c r="D97" s="56"/>
      <c r="E97" s="56"/>
      <c r="F97" s="56"/>
      <c r="G97" s="56"/>
      <c r="H97" s="56"/>
      <c r="I97" s="56"/>
      <c r="J97" s="56"/>
      <c r="K97" s="38" t="n">
        <f aca="false">SUMPRODUCT(LEN(D97:J97))</f>
        <v>0</v>
      </c>
      <c r="L97" s="37" t="n">
        <f aca="false">SUM(K97:K99)</f>
        <v>2</v>
      </c>
    </row>
    <row r="98" customFormat="false" ht="15" hidden="false" customHeight="false" outlineLevel="0" collapsed="false">
      <c r="B98" s="58"/>
      <c r="C98" s="55" t="s">
        <v>19</v>
      </c>
      <c r="D98" s="56"/>
      <c r="E98" s="56"/>
      <c r="F98" s="56" t="s">
        <v>147</v>
      </c>
      <c r="G98" s="56"/>
      <c r="H98" s="56"/>
      <c r="I98" s="56" t="s">
        <v>147</v>
      </c>
      <c r="J98" s="56"/>
      <c r="K98" s="38" t="n">
        <f aca="false">SUMPRODUCT(LEN(D98:J98))</f>
        <v>2</v>
      </c>
      <c r="L98" s="37"/>
    </row>
    <row r="99" customFormat="false" ht="15" hidden="false" customHeight="false" outlineLevel="0" collapsed="false">
      <c r="B99" s="58"/>
      <c r="C99" s="55" t="s">
        <v>24</v>
      </c>
      <c r="D99" s="56"/>
      <c r="E99" s="56"/>
      <c r="F99" s="56"/>
      <c r="G99" s="56"/>
      <c r="H99" s="56"/>
      <c r="I99" s="56"/>
      <c r="J99" s="56"/>
      <c r="K99" s="38" t="n">
        <f aca="false">SUMPRODUCT(LEN(D99:J99))</f>
        <v>0</v>
      </c>
      <c r="L99" s="37"/>
    </row>
    <row r="100" customFormat="false" ht="15" hidden="false" customHeight="false" outlineLevel="0" collapsed="false">
      <c r="B100" s="59" t="s">
        <v>36</v>
      </c>
      <c r="C100" s="55" t="s">
        <v>11</v>
      </c>
      <c r="D100" s="56"/>
      <c r="E100" s="56"/>
      <c r="F100" s="56"/>
      <c r="G100" s="56"/>
      <c r="H100" s="56"/>
      <c r="I100" s="56"/>
      <c r="J100" s="56"/>
      <c r="K100" s="38" t="n">
        <f aca="false">SUMPRODUCT(LEN(D100:J100))</f>
        <v>0</v>
      </c>
      <c r="L100" s="37" t="n">
        <f aca="false">SUM(K100:K102)</f>
        <v>6</v>
      </c>
    </row>
    <row r="101" customFormat="false" ht="15" hidden="false" customHeight="false" outlineLevel="0" collapsed="false">
      <c r="B101" s="59"/>
      <c r="C101" s="55" t="s">
        <v>19</v>
      </c>
      <c r="D101" s="56"/>
      <c r="E101" s="56"/>
      <c r="F101" s="56" t="s">
        <v>149</v>
      </c>
      <c r="G101" s="56"/>
      <c r="H101" s="56"/>
      <c r="I101" s="56"/>
      <c r="J101" s="56"/>
      <c r="K101" s="38" t="n">
        <f aca="false">SUMPRODUCT(LEN(D101:J101))</f>
        <v>1</v>
      </c>
      <c r="L101" s="37"/>
    </row>
    <row r="102" customFormat="false" ht="15" hidden="false" customHeight="false" outlineLevel="0" collapsed="false">
      <c r="B102" s="59"/>
      <c r="C102" s="55" t="s">
        <v>24</v>
      </c>
      <c r="D102" s="56" t="s">
        <v>149</v>
      </c>
      <c r="E102" s="56" t="s">
        <v>149</v>
      </c>
      <c r="F102" s="56" t="s">
        <v>149</v>
      </c>
      <c r="G102" s="56" t="s">
        <v>149</v>
      </c>
      <c r="H102" s="56" t="s">
        <v>149</v>
      </c>
      <c r="I102" s="56"/>
      <c r="J102" s="56"/>
      <c r="K102" s="38" t="n">
        <f aca="false">SUMPRODUCT(LEN(D102:J102))</f>
        <v>5</v>
      </c>
      <c r="L102" s="37"/>
    </row>
    <row r="103" customFormat="false" ht="15" hidden="false" customHeight="false" outlineLevel="0" collapsed="false">
      <c r="B103" s="60" t="s">
        <v>40</v>
      </c>
      <c r="C103" s="55" t="s">
        <v>11</v>
      </c>
      <c r="D103" s="56"/>
      <c r="E103" s="56"/>
      <c r="F103" s="56"/>
      <c r="G103" s="56"/>
      <c r="H103" s="56"/>
      <c r="I103" s="56"/>
      <c r="J103" s="56"/>
      <c r="K103" s="38" t="n">
        <f aca="false">SUMPRODUCT(LEN(D103:J103))</f>
        <v>0</v>
      </c>
      <c r="L103" s="37" t="n">
        <f aca="false">SUM(K103:K105)</f>
        <v>4</v>
      </c>
    </row>
    <row r="104" customFormat="false" ht="15" hidden="false" customHeight="false" outlineLevel="0" collapsed="false">
      <c r="B104" s="60"/>
      <c r="C104" s="55" t="s">
        <v>19</v>
      </c>
      <c r="D104" s="56"/>
      <c r="E104" s="56"/>
      <c r="F104" s="56"/>
      <c r="G104" s="56"/>
      <c r="H104" s="56"/>
      <c r="I104" s="56"/>
      <c r="J104" s="56"/>
      <c r="K104" s="38" t="n">
        <f aca="false">SUMPRODUCT(LEN(D104:J104))</f>
        <v>0</v>
      </c>
      <c r="L104" s="37"/>
    </row>
    <row r="105" customFormat="false" ht="15" hidden="false" customHeight="false" outlineLevel="0" collapsed="false">
      <c r="B105" s="60"/>
      <c r="C105" s="55" t="s">
        <v>24</v>
      </c>
      <c r="D105" s="56" t="s">
        <v>149</v>
      </c>
      <c r="E105" s="56"/>
      <c r="F105" s="56" t="s">
        <v>149</v>
      </c>
      <c r="G105" s="56"/>
      <c r="H105" s="56" t="s">
        <v>149</v>
      </c>
      <c r="I105" s="56"/>
      <c r="J105" s="56" t="s">
        <v>149</v>
      </c>
      <c r="K105" s="38" t="n">
        <f aca="false">SUMPRODUCT(LEN(D105:J105))</f>
        <v>4</v>
      </c>
      <c r="L105" s="37"/>
    </row>
    <row r="106" customFormat="false" ht="15" hidden="false" customHeight="false" outlineLevel="0" collapsed="false">
      <c r="B106" s="61" t="s">
        <v>14</v>
      </c>
      <c r="C106" s="55" t="s">
        <v>11</v>
      </c>
      <c r="D106" s="56"/>
      <c r="E106" s="56"/>
      <c r="F106" s="56"/>
      <c r="G106" s="56"/>
      <c r="H106" s="56"/>
      <c r="I106" s="56"/>
      <c r="J106" s="56"/>
      <c r="K106" s="38" t="n">
        <f aca="false">SUMPRODUCT(LEN(D106:J106))</f>
        <v>0</v>
      </c>
      <c r="L106" s="37" t="n">
        <f aca="false">SUM(K106:K108)</f>
        <v>3</v>
      </c>
    </row>
    <row r="107" customFormat="false" ht="15" hidden="false" customHeight="false" outlineLevel="0" collapsed="false">
      <c r="B107" s="61"/>
      <c r="C107" s="55" t="s">
        <v>19</v>
      </c>
      <c r="D107" s="56"/>
      <c r="E107" s="56"/>
      <c r="F107" s="56"/>
      <c r="G107" s="56"/>
      <c r="H107" s="56"/>
      <c r="I107" s="56"/>
      <c r="J107" s="56"/>
      <c r="K107" s="38" t="n">
        <f aca="false">SUMPRODUCT(LEN(D107:J107))</f>
        <v>0</v>
      </c>
      <c r="L107" s="37"/>
    </row>
    <row r="108" customFormat="false" ht="15" hidden="false" customHeight="false" outlineLevel="0" collapsed="false">
      <c r="B108" s="61"/>
      <c r="C108" s="55" t="s">
        <v>24</v>
      </c>
      <c r="D108" s="56" t="s">
        <v>149</v>
      </c>
      <c r="E108" s="56"/>
      <c r="F108" s="56"/>
      <c r="G108" s="56" t="s">
        <v>149</v>
      </c>
      <c r="H108" s="56"/>
      <c r="I108" s="56" t="s">
        <v>149</v>
      </c>
      <c r="J108" s="56"/>
      <c r="K108" s="38" t="n">
        <f aca="false">SUMPRODUCT(LEN(D108:J108))</f>
        <v>3</v>
      </c>
      <c r="L108" s="37"/>
    </row>
    <row r="109" customFormat="false" ht="15" hidden="false" customHeight="false" outlineLevel="0" collapsed="false">
      <c r="B109" s="62" t="s">
        <v>46</v>
      </c>
      <c r="C109" s="55" t="s">
        <v>11</v>
      </c>
      <c r="D109" s="56"/>
      <c r="E109" s="56"/>
      <c r="F109" s="56"/>
      <c r="G109" s="56"/>
      <c r="H109" s="56"/>
      <c r="I109" s="56"/>
      <c r="J109" s="56"/>
      <c r="K109" s="38" t="n">
        <f aca="false">SUMPRODUCT(LEN(D109:J109))</f>
        <v>0</v>
      </c>
      <c r="L109" s="37" t="n">
        <f aca="false">SUM(K109:K111)</f>
        <v>3</v>
      </c>
    </row>
    <row r="110" customFormat="false" ht="15" hidden="false" customHeight="false" outlineLevel="0" collapsed="false">
      <c r="B110" s="62"/>
      <c r="C110" s="55" t="s">
        <v>19</v>
      </c>
      <c r="D110" s="56"/>
      <c r="E110" s="56"/>
      <c r="F110" s="56"/>
      <c r="G110" s="56"/>
      <c r="H110" s="56"/>
      <c r="I110" s="56"/>
      <c r="J110" s="56"/>
      <c r="K110" s="38" t="n">
        <f aca="false">SUMPRODUCT(LEN(D110:J110))</f>
        <v>0</v>
      </c>
      <c r="L110" s="37"/>
    </row>
    <row r="111" customFormat="false" ht="15" hidden="false" customHeight="false" outlineLevel="0" collapsed="false">
      <c r="B111" s="62"/>
      <c r="C111" s="55" t="s">
        <v>24</v>
      </c>
      <c r="D111" s="56"/>
      <c r="E111" s="56" t="s">
        <v>149</v>
      </c>
      <c r="F111" s="56"/>
      <c r="G111" s="56" t="s">
        <v>149</v>
      </c>
      <c r="H111" s="56"/>
      <c r="I111" s="56" t="s">
        <v>149</v>
      </c>
      <c r="J111" s="56"/>
      <c r="K111" s="38" t="n">
        <f aca="false">SUMPRODUCT(LEN(D111:J111))</f>
        <v>3</v>
      </c>
      <c r="L111" s="37"/>
    </row>
    <row r="112" customFormat="false" ht="15" hidden="false" customHeight="false" outlineLevel="0" collapsed="false">
      <c r="B112" s="63" t="s">
        <v>49</v>
      </c>
      <c r="C112" s="55" t="s">
        <v>11</v>
      </c>
      <c r="D112" s="56"/>
      <c r="E112" s="56"/>
      <c r="F112" s="56"/>
      <c r="G112" s="56"/>
      <c r="H112" s="56"/>
      <c r="I112" s="56"/>
      <c r="J112" s="56"/>
      <c r="K112" s="38" t="n">
        <f aca="false">SUMPRODUCT(LEN(D112:J112))</f>
        <v>0</v>
      </c>
      <c r="L112" s="37" t="n">
        <f aca="false">SUM(K112:K114)</f>
        <v>2</v>
      </c>
    </row>
    <row r="113" customFormat="false" ht="15" hidden="false" customHeight="false" outlineLevel="0" collapsed="false">
      <c r="B113" s="63"/>
      <c r="C113" s="55" t="s">
        <v>19</v>
      </c>
      <c r="D113" s="56" t="s">
        <v>149</v>
      </c>
      <c r="E113" s="56"/>
      <c r="F113" s="56"/>
      <c r="G113" s="56"/>
      <c r="H113" s="56" t="s">
        <v>149</v>
      </c>
      <c r="I113" s="56"/>
      <c r="J113" s="56"/>
      <c r="K113" s="38" t="n">
        <f aca="false">SUMPRODUCT(LEN(D113:J113))</f>
        <v>2</v>
      </c>
      <c r="L113" s="37"/>
    </row>
    <row r="114" customFormat="false" ht="15" hidden="false" customHeight="false" outlineLevel="0" collapsed="false">
      <c r="B114" s="63"/>
      <c r="C114" s="55" t="s">
        <v>24</v>
      </c>
      <c r="D114" s="56"/>
      <c r="E114" s="56"/>
      <c r="F114" s="56"/>
      <c r="G114" s="56"/>
      <c r="H114" s="56"/>
      <c r="I114" s="56"/>
      <c r="J114" s="56"/>
      <c r="K114" s="38" t="n">
        <f aca="false">SUMPRODUCT(LEN(D114:J114))</f>
        <v>0</v>
      </c>
      <c r="L114" s="37"/>
    </row>
    <row r="115" customFormat="false" ht="15" hidden="false" customHeight="false" outlineLevel="0" collapsed="false">
      <c r="B115" s="64" t="s">
        <v>53</v>
      </c>
      <c r="C115" s="55" t="s">
        <v>11</v>
      </c>
      <c r="D115" s="56"/>
      <c r="E115" s="56"/>
      <c r="F115" s="56"/>
      <c r="G115" s="56"/>
      <c r="H115" s="56"/>
      <c r="I115" s="56"/>
      <c r="J115" s="56"/>
      <c r="K115" s="38" t="n">
        <f aca="false">SUMPRODUCT(LEN(D115:J115))</f>
        <v>0</v>
      </c>
      <c r="L115" s="37" t="n">
        <f aca="false">SUM(K115:K117)</f>
        <v>1</v>
      </c>
    </row>
    <row r="116" customFormat="false" ht="15" hidden="false" customHeight="false" outlineLevel="0" collapsed="false">
      <c r="B116" s="64"/>
      <c r="C116" s="55" t="s">
        <v>19</v>
      </c>
      <c r="D116" s="56"/>
      <c r="E116" s="56"/>
      <c r="F116" s="56"/>
      <c r="G116" s="56" t="s">
        <v>149</v>
      </c>
      <c r="H116" s="56"/>
      <c r="I116" s="56"/>
      <c r="J116" s="56"/>
      <c r="K116" s="38" t="n">
        <f aca="false">SUMPRODUCT(LEN(D116:J116))</f>
        <v>1</v>
      </c>
      <c r="L116" s="37"/>
    </row>
    <row r="117" customFormat="false" ht="15" hidden="false" customHeight="false" outlineLevel="0" collapsed="false">
      <c r="B117" s="64"/>
      <c r="C117" s="55" t="s">
        <v>24</v>
      </c>
      <c r="D117" s="56"/>
      <c r="E117" s="56"/>
      <c r="F117" s="56"/>
      <c r="G117" s="56"/>
      <c r="H117" s="56"/>
      <c r="I117" s="56"/>
      <c r="J117" s="56"/>
      <c r="K117" s="38" t="n">
        <f aca="false">SUMPRODUCT(LEN(D117:J117))</f>
        <v>0</v>
      </c>
      <c r="L117" s="37"/>
    </row>
    <row r="118" customFormat="false" ht="15" hidden="false" customHeight="false" outlineLevel="0" collapsed="false">
      <c r="B118" s="65" t="s">
        <v>56</v>
      </c>
      <c r="C118" s="55" t="s">
        <v>11</v>
      </c>
      <c r="D118" s="56"/>
      <c r="E118" s="56"/>
      <c r="F118" s="56"/>
      <c r="G118" s="56"/>
      <c r="H118" s="56"/>
      <c r="I118" s="56"/>
      <c r="J118" s="56"/>
      <c r="K118" s="38" t="n">
        <f aca="false">SUMPRODUCT(LEN(D118:J118))</f>
        <v>0</v>
      </c>
      <c r="L118" s="37" t="n">
        <f aca="false">SUM(K118:K120)</f>
        <v>2</v>
      </c>
    </row>
    <row r="119" customFormat="false" ht="15" hidden="false" customHeight="false" outlineLevel="0" collapsed="false">
      <c r="B119" s="65"/>
      <c r="C119" s="55" t="s">
        <v>19</v>
      </c>
      <c r="D119" s="56"/>
      <c r="E119" s="56"/>
      <c r="F119" s="56"/>
      <c r="G119" s="56"/>
      <c r="H119" s="56"/>
      <c r="I119" s="56"/>
      <c r="J119" s="56"/>
      <c r="K119" s="38" t="n">
        <f aca="false">SUMPRODUCT(LEN(D119:J119))</f>
        <v>0</v>
      </c>
      <c r="L119" s="37"/>
    </row>
    <row r="120" customFormat="false" ht="15" hidden="false" customHeight="false" outlineLevel="0" collapsed="false">
      <c r="B120" s="65"/>
      <c r="C120" s="55" t="s">
        <v>24</v>
      </c>
      <c r="D120" s="56"/>
      <c r="E120" s="56" t="s">
        <v>149</v>
      </c>
      <c r="F120" s="56"/>
      <c r="G120" s="56"/>
      <c r="H120" s="56"/>
      <c r="I120" s="56" t="s">
        <v>149</v>
      </c>
      <c r="J120" s="56"/>
      <c r="K120" s="38" t="n">
        <f aca="false">SUMPRODUCT(LEN(D120:J120))</f>
        <v>2</v>
      </c>
      <c r="L120" s="37"/>
    </row>
    <row r="121" customFormat="false" ht="15" hidden="false" customHeight="false" outlineLevel="0" collapsed="false">
      <c r="B121" s="66" t="s">
        <v>59</v>
      </c>
      <c r="C121" s="55" t="s">
        <v>11</v>
      </c>
      <c r="D121" s="56"/>
      <c r="E121" s="56"/>
      <c r="F121" s="56"/>
      <c r="G121" s="56"/>
      <c r="H121" s="56"/>
      <c r="I121" s="56"/>
      <c r="J121" s="56"/>
      <c r="K121" s="38" t="n">
        <f aca="false">SUMPRODUCT(LEN(D121:J121))</f>
        <v>0</v>
      </c>
      <c r="L121" s="37" t="n">
        <f aca="false">SUM(K121:K123)</f>
        <v>7</v>
      </c>
    </row>
    <row r="122" customFormat="false" ht="15" hidden="false" customHeight="false" outlineLevel="0" collapsed="false">
      <c r="B122" s="66"/>
      <c r="C122" s="55" t="s">
        <v>19</v>
      </c>
      <c r="D122" s="56"/>
      <c r="E122" s="56"/>
      <c r="F122" s="56"/>
      <c r="G122" s="56"/>
      <c r="H122" s="56"/>
      <c r="I122" s="56"/>
      <c r="J122" s="56"/>
      <c r="K122" s="38" t="n">
        <f aca="false">SUMPRODUCT(LEN(D122:J122))</f>
        <v>0</v>
      </c>
      <c r="L122" s="37"/>
    </row>
    <row r="123" customFormat="false" ht="15" hidden="false" customHeight="false" outlineLevel="0" collapsed="false">
      <c r="B123" s="66"/>
      <c r="C123" s="55" t="s">
        <v>24</v>
      </c>
      <c r="D123" s="56" t="s">
        <v>149</v>
      </c>
      <c r="E123" s="56" t="s">
        <v>149</v>
      </c>
      <c r="F123" s="56" t="s">
        <v>149</v>
      </c>
      <c r="G123" s="56" t="s">
        <v>150</v>
      </c>
      <c r="H123" s="56" t="s">
        <v>149</v>
      </c>
      <c r="I123" s="56" t="s">
        <v>149</v>
      </c>
      <c r="J123" s="56"/>
      <c r="K123" s="38" t="n">
        <f aca="false">SUMPRODUCT(LEN(D123:J123))</f>
        <v>7</v>
      </c>
      <c r="L123" s="37"/>
    </row>
    <row r="124" customFormat="false" ht="15" hidden="false" customHeight="false" outlineLevel="0" collapsed="false">
      <c r="B124" s="67" t="s">
        <v>62</v>
      </c>
      <c r="C124" s="55" t="s">
        <v>11</v>
      </c>
      <c r="D124" s="56"/>
      <c r="E124" s="56"/>
      <c r="F124" s="56"/>
      <c r="G124" s="56"/>
      <c r="H124" s="56"/>
      <c r="I124" s="56"/>
      <c r="J124" s="56"/>
      <c r="K124" s="38" t="n">
        <f aca="false">SUMPRODUCT(LEN(D124:J124))</f>
        <v>0</v>
      </c>
      <c r="L124" s="37" t="n">
        <f aca="false">SUM(K124:K126)</f>
        <v>2</v>
      </c>
    </row>
    <row r="125" customFormat="false" ht="15" hidden="false" customHeight="false" outlineLevel="0" collapsed="false">
      <c r="B125" s="67"/>
      <c r="C125" s="55" t="s">
        <v>19</v>
      </c>
      <c r="D125" s="56"/>
      <c r="E125" s="56"/>
      <c r="F125" s="56"/>
      <c r="G125" s="56"/>
      <c r="H125" s="56"/>
      <c r="I125" s="56"/>
      <c r="J125" s="56"/>
      <c r="K125" s="38" t="n">
        <f aca="false">SUMPRODUCT(LEN(D125:J125))</f>
        <v>0</v>
      </c>
      <c r="L125" s="37"/>
    </row>
    <row r="126" customFormat="false" ht="15" hidden="false" customHeight="false" outlineLevel="0" collapsed="false">
      <c r="B126" s="67"/>
      <c r="C126" s="55" t="s">
        <v>24</v>
      </c>
      <c r="D126" s="56"/>
      <c r="E126" s="56"/>
      <c r="F126" s="56" t="s">
        <v>149</v>
      </c>
      <c r="G126" s="56"/>
      <c r="H126" s="56"/>
      <c r="I126" s="56"/>
      <c r="J126" s="56" t="s">
        <v>149</v>
      </c>
      <c r="K126" s="38" t="n">
        <f aca="false">SUMPRODUCT(LEN(D126:J126))</f>
        <v>2</v>
      </c>
      <c r="L126" s="37"/>
    </row>
    <row r="128" customFormat="false" ht="19.5" hidden="false" customHeight="true" outlineLevel="0" collapsed="false">
      <c r="B128" s="51" t="str">
        <f aca="false">"TABLEAU 4/12  -  PROGRAMME DE JUILLET 2027"&amp;IF($C$6="juillet 2027","          &lt;&lt;&lt; MOIS ACTUELLEMENT FILTRE","")</f>
        <v>TABLEAU 4/12  -  PROGRAMME DE JUILLET 2027</v>
      </c>
      <c r="C128" s="51"/>
      <c r="D128" s="51"/>
      <c r="E128" s="51"/>
      <c r="F128" s="51"/>
      <c r="G128" s="51"/>
      <c r="H128" s="51"/>
      <c r="I128" s="51"/>
      <c r="J128" s="51"/>
      <c r="L128" s="52" t="s">
        <v>143</v>
      </c>
    </row>
    <row r="129" customFormat="false" ht="25.5" hidden="false" customHeight="true" outlineLevel="0" collapsed="false">
      <c r="B129" s="53" t="s">
        <v>84</v>
      </c>
      <c r="C129" s="53" t="s">
        <v>144</v>
      </c>
      <c r="D129" s="53" t="s">
        <v>27</v>
      </c>
      <c r="E129" s="53" t="s">
        <v>28</v>
      </c>
      <c r="F129" s="53" t="s">
        <v>29</v>
      </c>
      <c r="G129" s="53" t="s">
        <v>30</v>
      </c>
      <c r="H129" s="53" t="s">
        <v>31</v>
      </c>
      <c r="I129" s="53" t="s">
        <v>32</v>
      </c>
      <c r="J129" s="53" t="s">
        <v>33</v>
      </c>
      <c r="K129" s="53" t="s">
        <v>145</v>
      </c>
      <c r="L129" s="53" t="s">
        <v>146</v>
      </c>
    </row>
    <row r="130" customFormat="false" ht="15" hidden="false" customHeight="false" outlineLevel="0" collapsed="false">
      <c r="B130" s="54" t="s">
        <v>12</v>
      </c>
      <c r="C130" s="55" t="s">
        <v>11</v>
      </c>
      <c r="D130" s="56" t="s">
        <v>147</v>
      </c>
      <c r="E130" s="56" t="s">
        <v>147</v>
      </c>
      <c r="F130" s="56" t="s">
        <v>147</v>
      </c>
      <c r="G130" s="56" t="s">
        <v>147</v>
      </c>
      <c r="H130" s="56" t="s">
        <v>147</v>
      </c>
      <c r="I130" s="56" t="s">
        <v>147</v>
      </c>
      <c r="J130" s="56" t="s">
        <v>147</v>
      </c>
      <c r="K130" s="38" t="n">
        <f aca="false">SUMPRODUCT(LEN(D130:J130))</f>
        <v>7</v>
      </c>
      <c r="L130" s="37" t="n">
        <f aca="false">SUM(K130:K132)</f>
        <v>11</v>
      </c>
    </row>
    <row r="131" customFormat="false" ht="15" hidden="false" customHeight="false" outlineLevel="0" collapsed="false">
      <c r="B131" s="54"/>
      <c r="C131" s="55" t="s">
        <v>19</v>
      </c>
      <c r="D131" s="56" t="s">
        <v>147</v>
      </c>
      <c r="E131" s="56"/>
      <c r="F131" s="56"/>
      <c r="G131" s="56"/>
      <c r="H131" s="56" t="s">
        <v>147</v>
      </c>
      <c r="I131" s="56"/>
      <c r="J131" s="56"/>
      <c r="K131" s="38" t="n">
        <f aca="false">SUMPRODUCT(LEN(D131:J131))</f>
        <v>2</v>
      </c>
      <c r="L131" s="37"/>
    </row>
    <row r="132" customFormat="false" ht="15" hidden="false" customHeight="false" outlineLevel="0" collapsed="false">
      <c r="B132" s="54"/>
      <c r="C132" s="55" t="s">
        <v>24</v>
      </c>
      <c r="D132" s="56" t="s">
        <v>148</v>
      </c>
      <c r="E132" s="56"/>
      <c r="F132" s="56"/>
      <c r="G132" s="56"/>
      <c r="H132" s="56"/>
      <c r="I132" s="56"/>
      <c r="J132" s="56"/>
      <c r="K132" s="38" t="n">
        <f aca="false">SUMPRODUCT(LEN(D132:J132))</f>
        <v>2</v>
      </c>
      <c r="L132" s="37"/>
    </row>
    <row r="133" customFormat="false" ht="15" hidden="false" customHeight="false" outlineLevel="0" collapsed="false">
      <c r="B133" s="57" t="s">
        <v>20</v>
      </c>
      <c r="C133" s="55" t="s">
        <v>11</v>
      </c>
      <c r="D133" s="56"/>
      <c r="E133" s="56"/>
      <c r="F133" s="56"/>
      <c r="G133" s="56"/>
      <c r="H133" s="56"/>
      <c r="I133" s="56"/>
      <c r="J133" s="56" t="s">
        <v>147</v>
      </c>
      <c r="K133" s="38" t="n">
        <f aca="false">SUMPRODUCT(LEN(D133:J133))</f>
        <v>1</v>
      </c>
      <c r="L133" s="37" t="n">
        <f aca="false">SUM(K133:K135)</f>
        <v>3</v>
      </c>
    </row>
    <row r="134" customFormat="false" ht="15" hidden="false" customHeight="false" outlineLevel="0" collapsed="false">
      <c r="B134" s="57"/>
      <c r="C134" s="55" t="s">
        <v>19</v>
      </c>
      <c r="D134" s="56"/>
      <c r="E134" s="56" t="s">
        <v>147</v>
      </c>
      <c r="F134" s="56"/>
      <c r="G134" s="56"/>
      <c r="H134" s="56" t="s">
        <v>147</v>
      </c>
      <c r="I134" s="56"/>
      <c r="J134" s="56"/>
      <c r="K134" s="38" t="n">
        <f aca="false">SUMPRODUCT(LEN(D134:J134))</f>
        <v>2</v>
      </c>
      <c r="L134" s="37"/>
    </row>
    <row r="135" customFormat="false" ht="15" hidden="false" customHeight="false" outlineLevel="0" collapsed="false">
      <c r="B135" s="57"/>
      <c r="C135" s="55" t="s">
        <v>24</v>
      </c>
      <c r="D135" s="56"/>
      <c r="E135" s="56"/>
      <c r="F135" s="56"/>
      <c r="G135" s="56"/>
      <c r="H135" s="56"/>
      <c r="I135" s="56"/>
      <c r="J135" s="56"/>
      <c r="K135" s="38" t="n">
        <f aca="false">SUMPRODUCT(LEN(D135:J135))</f>
        <v>0</v>
      </c>
      <c r="L135" s="37"/>
    </row>
    <row r="136" customFormat="false" ht="15" hidden="false" customHeight="false" outlineLevel="0" collapsed="false">
      <c r="B136" s="58" t="s">
        <v>25</v>
      </c>
      <c r="C136" s="55" t="s">
        <v>11</v>
      </c>
      <c r="D136" s="56"/>
      <c r="E136" s="56"/>
      <c r="F136" s="56"/>
      <c r="G136" s="56"/>
      <c r="H136" s="56"/>
      <c r="I136" s="56"/>
      <c r="J136" s="56"/>
      <c r="K136" s="38" t="n">
        <f aca="false">SUMPRODUCT(LEN(D136:J136))</f>
        <v>0</v>
      </c>
      <c r="L136" s="37" t="n">
        <f aca="false">SUM(K136:K138)</f>
        <v>2</v>
      </c>
    </row>
    <row r="137" customFormat="false" ht="15" hidden="false" customHeight="false" outlineLevel="0" collapsed="false">
      <c r="B137" s="58"/>
      <c r="C137" s="55" t="s">
        <v>19</v>
      </c>
      <c r="D137" s="56"/>
      <c r="E137" s="56"/>
      <c r="F137" s="56" t="s">
        <v>147</v>
      </c>
      <c r="G137" s="56"/>
      <c r="H137" s="56"/>
      <c r="I137" s="56" t="s">
        <v>147</v>
      </c>
      <c r="J137" s="56"/>
      <c r="K137" s="38" t="n">
        <f aca="false">SUMPRODUCT(LEN(D137:J137))</f>
        <v>2</v>
      </c>
      <c r="L137" s="37"/>
    </row>
    <row r="138" customFormat="false" ht="15" hidden="false" customHeight="false" outlineLevel="0" collapsed="false">
      <c r="B138" s="58"/>
      <c r="C138" s="55" t="s">
        <v>24</v>
      </c>
      <c r="D138" s="56"/>
      <c r="E138" s="56"/>
      <c r="F138" s="56"/>
      <c r="G138" s="56"/>
      <c r="H138" s="56"/>
      <c r="I138" s="56"/>
      <c r="J138" s="56"/>
      <c r="K138" s="38" t="n">
        <f aca="false">SUMPRODUCT(LEN(D138:J138))</f>
        <v>0</v>
      </c>
      <c r="L138" s="37"/>
    </row>
    <row r="139" customFormat="false" ht="15" hidden="false" customHeight="false" outlineLevel="0" collapsed="false">
      <c r="B139" s="59" t="s">
        <v>36</v>
      </c>
      <c r="C139" s="55" t="s">
        <v>11</v>
      </c>
      <c r="D139" s="56"/>
      <c r="E139" s="56"/>
      <c r="F139" s="56"/>
      <c r="G139" s="56"/>
      <c r="H139" s="56"/>
      <c r="I139" s="56"/>
      <c r="J139" s="56"/>
      <c r="K139" s="38" t="n">
        <f aca="false">SUMPRODUCT(LEN(D139:J139))</f>
        <v>0</v>
      </c>
      <c r="L139" s="37" t="n">
        <f aca="false">SUM(K139:K141)</f>
        <v>6</v>
      </c>
    </row>
    <row r="140" customFormat="false" ht="15" hidden="false" customHeight="false" outlineLevel="0" collapsed="false">
      <c r="B140" s="59"/>
      <c r="C140" s="55" t="s">
        <v>19</v>
      </c>
      <c r="D140" s="56"/>
      <c r="E140" s="56"/>
      <c r="F140" s="56" t="s">
        <v>149</v>
      </c>
      <c r="G140" s="56"/>
      <c r="H140" s="56"/>
      <c r="I140" s="56"/>
      <c r="J140" s="56"/>
      <c r="K140" s="38" t="n">
        <f aca="false">SUMPRODUCT(LEN(D140:J140))</f>
        <v>1</v>
      </c>
      <c r="L140" s="37"/>
    </row>
    <row r="141" customFormat="false" ht="15" hidden="false" customHeight="false" outlineLevel="0" collapsed="false">
      <c r="B141" s="59"/>
      <c r="C141" s="55" t="s">
        <v>24</v>
      </c>
      <c r="D141" s="56" t="s">
        <v>149</v>
      </c>
      <c r="E141" s="56" t="s">
        <v>149</v>
      </c>
      <c r="F141" s="56" t="s">
        <v>149</v>
      </c>
      <c r="G141" s="56" t="s">
        <v>149</v>
      </c>
      <c r="H141" s="56" t="s">
        <v>149</v>
      </c>
      <c r="I141" s="56"/>
      <c r="J141" s="56"/>
      <c r="K141" s="38" t="n">
        <f aca="false">SUMPRODUCT(LEN(D141:J141))</f>
        <v>5</v>
      </c>
      <c r="L141" s="37"/>
    </row>
    <row r="142" customFormat="false" ht="15" hidden="false" customHeight="false" outlineLevel="0" collapsed="false">
      <c r="B142" s="60" t="s">
        <v>40</v>
      </c>
      <c r="C142" s="55" t="s">
        <v>11</v>
      </c>
      <c r="D142" s="56"/>
      <c r="E142" s="56"/>
      <c r="F142" s="56"/>
      <c r="G142" s="56"/>
      <c r="H142" s="56"/>
      <c r="I142" s="56"/>
      <c r="J142" s="56"/>
      <c r="K142" s="38" t="n">
        <f aca="false">SUMPRODUCT(LEN(D142:J142))</f>
        <v>0</v>
      </c>
      <c r="L142" s="37" t="n">
        <f aca="false">SUM(K142:K144)</f>
        <v>4</v>
      </c>
    </row>
    <row r="143" customFormat="false" ht="15" hidden="false" customHeight="false" outlineLevel="0" collapsed="false">
      <c r="B143" s="60"/>
      <c r="C143" s="55" t="s">
        <v>19</v>
      </c>
      <c r="D143" s="56"/>
      <c r="E143" s="56"/>
      <c r="F143" s="56"/>
      <c r="G143" s="56"/>
      <c r="H143" s="56"/>
      <c r="I143" s="56"/>
      <c r="J143" s="56"/>
      <c r="K143" s="38" t="n">
        <f aca="false">SUMPRODUCT(LEN(D143:J143))</f>
        <v>0</v>
      </c>
      <c r="L143" s="37"/>
    </row>
    <row r="144" customFormat="false" ht="15" hidden="false" customHeight="false" outlineLevel="0" collapsed="false">
      <c r="B144" s="60"/>
      <c r="C144" s="55" t="s">
        <v>24</v>
      </c>
      <c r="D144" s="56" t="s">
        <v>149</v>
      </c>
      <c r="E144" s="56"/>
      <c r="F144" s="56" t="s">
        <v>149</v>
      </c>
      <c r="G144" s="56"/>
      <c r="H144" s="56" t="s">
        <v>149</v>
      </c>
      <c r="I144" s="56"/>
      <c r="J144" s="56" t="s">
        <v>149</v>
      </c>
      <c r="K144" s="38" t="n">
        <f aca="false">SUMPRODUCT(LEN(D144:J144))</f>
        <v>4</v>
      </c>
      <c r="L144" s="37"/>
    </row>
    <row r="145" customFormat="false" ht="15" hidden="false" customHeight="false" outlineLevel="0" collapsed="false">
      <c r="B145" s="61" t="s">
        <v>14</v>
      </c>
      <c r="C145" s="55" t="s">
        <v>11</v>
      </c>
      <c r="D145" s="56"/>
      <c r="E145" s="56"/>
      <c r="F145" s="56"/>
      <c r="G145" s="56"/>
      <c r="H145" s="56"/>
      <c r="I145" s="56"/>
      <c r="J145" s="56"/>
      <c r="K145" s="38" t="n">
        <f aca="false">SUMPRODUCT(LEN(D145:J145))</f>
        <v>0</v>
      </c>
      <c r="L145" s="37" t="n">
        <f aca="false">SUM(K145:K147)</f>
        <v>4</v>
      </c>
    </row>
    <row r="146" customFormat="false" ht="15" hidden="false" customHeight="false" outlineLevel="0" collapsed="false">
      <c r="B146" s="61"/>
      <c r="C146" s="55" t="s">
        <v>19</v>
      </c>
      <c r="D146" s="56"/>
      <c r="E146" s="56"/>
      <c r="F146" s="56"/>
      <c r="G146" s="56"/>
      <c r="H146" s="56"/>
      <c r="I146" s="56"/>
      <c r="J146" s="56"/>
      <c r="K146" s="38" t="n">
        <f aca="false">SUMPRODUCT(LEN(D146:J146))</f>
        <v>0</v>
      </c>
      <c r="L146" s="37"/>
    </row>
    <row r="147" customFormat="false" ht="15" hidden="false" customHeight="false" outlineLevel="0" collapsed="false">
      <c r="B147" s="61"/>
      <c r="C147" s="55" t="s">
        <v>24</v>
      </c>
      <c r="D147" s="56" t="s">
        <v>149</v>
      </c>
      <c r="E147" s="56"/>
      <c r="F147" s="56" t="s">
        <v>149</v>
      </c>
      <c r="G147" s="56" t="s">
        <v>149</v>
      </c>
      <c r="H147" s="56"/>
      <c r="I147" s="56" t="s">
        <v>149</v>
      </c>
      <c r="J147" s="56"/>
      <c r="K147" s="38" t="n">
        <f aca="false">SUMPRODUCT(LEN(D147:J147))</f>
        <v>4</v>
      </c>
      <c r="L147" s="37"/>
    </row>
    <row r="148" customFormat="false" ht="15" hidden="false" customHeight="false" outlineLevel="0" collapsed="false">
      <c r="B148" s="62" t="s">
        <v>46</v>
      </c>
      <c r="C148" s="55" t="s">
        <v>11</v>
      </c>
      <c r="D148" s="56"/>
      <c r="E148" s="56"/>
      <c r="F148" s="56"/>
      <c r="G148" s="56"/>
      <c r="H148" s="56"/>
      <c r="I148" s="56"/>
      <c r="J148" s="56"/>
      <c r="K148" s="38" t="n">
        <f aca="false">SUMPRODUCT(LEN(D148:J148))</f>
        <v>0</v>
      </c>
      <c r="L148" s="37" t="n">
        <f aca="false">SUM(K148:K150)</f>
        <v>3</v>
      </c>
    </row>
    <row r="149" customFormat="false" ht="15" hidden="false" customHeight="false" outlineLevel="0" collapsed="false">
      <c r="B149" s="62"/>
      <c r="C149" s="55" t="s">
        <v>19</v>
      </c>
      <c r="D149" s="56"/>
      <c r="E149" s="56"/>
      <c r="F149" s="56"/>
      <c r="G149" s="56"/>
      <c r="H149" s="56"/>
      <c r="I149" s="56"/>
      <c r="J149" s="56"/>
      <c r="K149" s="38" t="n">
        <f aca="false">SUMPRODUCT(LEN(D149:J149))</f>
        <v>0</v>
      </c>
      <c r="L149" s="37"/>
    </row>
    <row r="150" customFormat="false" ht="15" hidden="false" customHeight="false" outlineLevel="0" collapsed="false">
      <c r="B150" s="62"/>
      <c r="C150" s="55" t="s">
        <v>24</v>
      </c>
      <c r="D150" s="56"/>
      <c r="E150" s="56" t="s">
        <v>149</v>
      </c>
      <c r="F150" s="56"/>
      <c r="G150" s="56" t="s">
        <v>149</v>
      </c>
      <c r="H150" s="56"/>
      <c r="I150" s="56" t="s">
        <v>149</v>
      </c>
      <c r="J150" s="56"/>
      <c r="K150" s="38" t="n">
        <f aca="false">SUMPRODUCT(LEN(D150:J150))</f>
        <v>3</v>
      </c>
      <c r="L150" s="37"/>
    </row>
    <row r="151" customFormat="false" ht="15" hidden="false" customHeight="false" outlineLevel="0" collapsed="false">
      <c r="B151" s="63" t="s">
        <v>49</v>
      </c>
      <c r="C151" s="55" t="s">
        <v>11</v>
      </c>
      <c r="D151" s="56"/>
      <c r="E151" s="56"/>
      <c r="F151" s="56"/>
      <c r="G151" s="56"/>
      <c r="H151" s="56"/>
      <c r="I151" s="56"/>
      <c r="J151" s="56"/>
      <c r="K151" s="38" t="n">
        <f aca="false">SUMPRODUCT(LEN(D151:J151))</f>
        <v>0</v>
      </c>
      <c r="L151" s="37" t="n">
        <f aca="false">SUM(K151:K153)</f>
        <v>2</v>
      </c>
    </row>
    <row r="152" customFormat="false" ht="15" hidden="false" customHeight="false" outlineLevel="0" collapsed="false">
      <c r="B152" s="63"/>
      <c r="C152" s="55" t="s">
        <v>19</v>
      </c>
      <c r="D152" s="56" t="s">
        <v>149</v>
      </c>
      <c r="E152" s="56"/>
      <c r="F152" s="56"/>
      <c r="G152" s="56"/>
      <c r="H152" s="56" t="s">
        <v>149</v>
      </c>
      <c r="I152" s="56"/>
      <c r="J152" s="56"/>
      <c r="K152" s="38" t="n">
        <f aca="false">SUMPRODUCT(LEN(D152:J152))</f>
        <v>2</v>
      </c>
      <c r="L152" s="37"/>
    </row>
    <row r="153" customFormat="false" ht="15" hidden="false" customHeight="false" outlineLevel="0" collapsed="false">
      <c r="B153" s="63"/>
      <c r="C153" s="55" t="s">
        <v>24</v>
      </c>
      <c r="D153" s="56"/>
      <c r="E153" s="56"/>
      <c r="F153" s="56"/>
      <c r="G153" s="56"/>
      <c r="H153" s="56"/>
      <c r="I153" s="56"/>
      <c r="J153" s="56"/>
      <c r="K153" s="38" t="n">
        <f aca="false">SUMPRODUCT(LEN(D153:J153))</f>
        <v>0</v>
      </c>
      <c r="L153" s="37"/>
    </row>
    <row r="154" customFormat="false" ht="15" hidden="false" customHeight="false" outlineLevel="0" collapsed="false">
      <c r="B154" s="64" t="s">
        <v>53</v>
      </c>
      <c r="C154" s="55" t="s">
        <v>11</v>
      </c>
      <c r="D154" s="56"/>
      <c r="E154" s="56"/>
      <c r="F154" s="56"/>
      <c r="G154" s="56"/>
      <c r="H154" s="56"/>
      <c r="I154" s="56"/>
      <c r="J154" s="56"/>
      <c r="K154" s="38" t="n">
        <f aca="false">SUMPRODUCT(LEN(D154:J154))</f>
        <v>0</v>
      </c>
      <c r="L154" s="37" t="n">
        <f aca="false">SUM(K154:K156)</f>
        <v>1</v>
      </c>
    </row>
    <row r="155" customFormat="false" ht="15" hidden="false" customHeight="false" outlineLevel="0" collapsed="false">
      <c r="B155" s="64"/>
      <c r="C155" s="55" t="s">
        <v>19</v>
      </c>
      <c r="D155" s="56"/>
      <c r="E155" s="56"/>
      <c r="F155" s="56"/>
      <c r="G155" s="56" t="s">
        <v>149</v>
      </c>
      <c r="H155" s="56"/>
      <c r="I155" s="56"/>
      <c r="J155" s="56"/>
      <c r="K155" s="38" t="n">
        <f aca="false">SUMPRODUCT(LEN(D155:J155))</f>
        <v>1</v>
      </c>
      <c r="L155" s="37"/>
    </row>
    <row r="156" customFormat="false" ht="15" hidden="false" customHeight="false" outlineLevel="0" collapsed="false">
      <c r="B156" s="64"/>
      <c r="C156" s="55" t="s">
        <v>24</v>
      </c>
      <c r="D156" s="56"/>
      <c r="E156" s="56"/>
      <c r="F156" s="56"/>
      <c r="G156" s="56"/>
      <c r="H156" s="56"/>
      <c r="I156" s="56"/>
      <c r="J156" s="56"/>
      <c r="K156" s="38" t="n">
        <f aca="false">SUMPRODUCT(LEN(D156:J156))</f>
        <v>0</v>
      </c>
      <c r="L156" s="37"/>
    </row>
    <row r="157" customFormat="false" ht="15" hidden="false" customHeight="false" outlineLevel="0" collapsed="false">
      <c r="B157" s="65" t="s">
        <v>56</v>
      </c>
      <c r="C157" s="55" t="s">
        <v>11</v>
      </c>
      <c r="D157" s="56"/>
      <c r="E157" s="56"/>
      <c r="F157" s="56"/>
      <c r="G157" s="56"/>
      <c r="H157" s="56"/>
      <c r="I157" s="56"/>
      <c r="J157" s="56"/>
      <c r="K157" s="38" t="n">
        <f aca="false">SUMPRODUCT(LEN(D157:J157))</f>
        <v>0</v>
      </c>
      <c r="L157" s="37" t="n">
        <f aca="false">SUM(K157:K159)</f>
        <v>2</v>
      </c>
    </row>
    <row r="158" customFormat="false" ht="15" hidden="false" customHeight="false" outlineLevel="0" collapsed="false">
      <c r="B158" s="65"/>
      <c r="C158" s="55" t="s">
        <v>19</v>
      </c>
      <c r="D158" s="56"/>
      <c r="E158" s="56"/>
      <c r="F158" s="56"/>
      <c r="G158" s="56"/>
      <c r="H158" s="56"/>
      <c r="I158" s="56"/>
      <c r="J158" s="56"/>
      <c r="K158" s="38" t="n">
        <f aca="false">SUMPRODUCT(LEN(D158:J158))</f>
        <v>0</v>
      </c>
      <c r="L158" s="37"/>
    </row>
    <row r="159" customFormat="false" ht="15" hidden="false" customHeight="false" outlineLevel="0" collapsed="false">
      <c r="B159" s="65"/>
      <c r="C159" s="55" t="s">
        <v>24</v>
      </c>
      <c r="D159" s="56"/>
      <c r="E159" s="56" t="s">
        <v>149</v>
      </c>
      <c r="F159" s="56"/>
      <c r="G159" s="56"/>
      <c r="H159" s="56"/>
      <c r="I159" s="56" t="s">
        <v>149</v>
      </c>
      <c r="J159" s="56"/>
      <c r="K159" s="38" t="n">
        <f aca="false">SUMPRODUCT(LEN(D159:J159))</f>
        <v>2</v>
      </c>
      <c r="L159" s="37"/>
    </row>
    <row r="160" customFormat="false" ht="15" hidden="false" customHeight="false" outlineLevel="0" collapsed="false">
      <c r="B160" s="66" t="s">
        <v>59</v>
      </c>
      <c r="C160" s="55" t="s">
        <v>11</v>
      </c>
      <c r="D160" s="56"/>
      <c r="E160" s="56"/>
      <c r="F160" s="56"/>
      <c r="G160" s="56"/>
      <c r="H160" s="56"/>
      <c r="I160" s="56"/>
      <c r="J160" s="56"/>
      <c r="K160" s="38" t="n">
        <f aca="false">SUMPRODUCT(LEN(D160:J160))</f>
        <v>0</v>
      </c>
      <c r="L160" s="37" t="n">
        <f aca="false">SUM(K160:K162)</f>
        <v>7</v>
      </c>
    </row>
    <row r="161" customFormat="false" ht="15" hidden="false" customHeight="false" outlineLevel="0" collapsed="false">
      <c r="B161" s="66"/>
      <c r="C161" s="55" t="s">
        <v>19</v>
      </c>
      <c r="D161" s="56"/>
      <c r="E161" s="56"/>
      <c r="F161" s="56"/>
      <c r="G161" s="56"/>
      <c r="H161" s="56"/>
      <c r="I161" s="56"/>
      <c r="J161" s="56"/>
      <c r="K161" s="38" t="n">
        <f aca="false">SUMPRODUCT(LEN(D161:J161))</f>
        <v>0</v>
      </c>
      <c r="L161" s="37"/>
    </row>
    <row r="162" customFormat="false" ht="15" hidden="false" customHeight="false" outlineLevel="0" collapsed="false">
      <c r="B162" s="66"/>
      <c r="C162" s="55" t="s">
        <v>24</v>
      </c>
      <c r="D162" s="56" t="s">
        <v>149</v>
      </c>
      <c r="E162" s="56" t="s">
        <v>149</v>
      </c>
      <c r="F162" s="56" t="s">
        <v>149</v>
      </c>
      <c r="G162" s="56" t="s">
        <v>150</v>
      </c>
      <c r="H162" s="56" t="s">
        <v>149</v>
      </c>
      <c r="I162" s="56" t="s">
        <v>149</v>
      </c>
      <c r="J162" s="56"/>
      <c r="K162" s="38" t="n">
        <f aca="false">SUMPRODUCT(LEN(D162:J162))</f>
        <v>7</v>
      </c>
      <c r="L162" s="37"/>
    </row>
    <row r="163" customFormat="false" ht="15" hidden="false" customHeight="false" outlineLevel="0" collapsed="false">
      <c r="B163" s="67" t="s">
        <v>62</v>
      </c>
      <c r="C163" s="55" t="s">
        <v>11</v>
      </c>
      <c r="D163" s="56"/>
      <c r="E163" s="56"/>
      <c r="F163" s="56"/>
      <c r="G163" s="56"/>
      <c r="H163" s="56"/>
      <c r="I163" s="56"/>
      <c r="J163" s="56"/>
      <c r="K163" s="38" t="n">
        <f aca="false">SUMPRODUCT(LEN(D163:J163))</f>
        <v>0</v>
      </c>
      <c r="L163" s="37" t="n">
        <f aca="false">SUM(K163:K165)</f>
        <v>2</v>
      </c>
    </row>
    <row r="164" customFormat="false" ht="15" hidden="false" customHeight="false" outlineLevel="0" collapsed="false">
      <c r="B164" s="67"/>
      <c r="C164" s="55" t="s">
        <v>19</v>
      </c>
      <c r="D164" s="56"/>
      <c r="E164" s="56"/>
      <c r="F164" s="56"/>
      <c r="G164" s="56"/>
      <c r="H164" s="56"/>
      <c r="I164" s="56"/>
      <c r="J164" s="56"/>
      <c r="K164" s="38" t="n">
        <f aca="false">SUMPRODUCT(LEN(D164:J164))</f>
        <v>0</v>
      </c>
      <c r="L164" s="37"/>
    </row>
    <row r="165" customFormat="false" ht="15" hidden="false" customHeight="false" outlineLevel="0" collapsed="false">
      <c r="B165" s="67"/>
      <c r="C165" s="55" t="s">
        <v>24</v>
      </c>
      <c r="D165" s="56"/>
      <c r="E165" s="56"/>
      <c r="F165" s="56" t="s">
        <v>149</v>
      </c>
      <c r="G165" s="56"/>
      <c r="H165" s="56"/>
      <c r="I165" s="56"/>
      <c r="J165" s="56" t="s">
        <v>149</v>
      </c>
      <c r="K165" s="38" t="n">
        <f aca="false">SUMPRODUCT(LEN(D165:J165))</f>
        <v>2</v>
      </c>
      <c r="L165" s="37"/>
    </row>
    <row r="167" customFormat="false" ht="19.5" hidden="false" customHeight="true" outlineLevel="0" collapsed="false">
      <c r="B167" s="51" t="str">
        <f aca="false">"TABLEAU 5/12  -  PROGRAMME DE AOUT 2027"&amp;IF($C$6="aout 2027","          &lt;&lt;&lt; MOIS ACTUELLEMENT FILTRE","")</f>
        <v>TABLEAU 5/12  -  PROGRAMME DE AOUT 2027</v>
      </c>
      <c r="C167" s="51"/>
      <c r="D167" s="51"/>
      <c r="E167" s="51"/>
      <c r="F167" s="51"/>
      <c r="G167" s="51"/>
      <c r="H167" s="51"/>
      <c r="I167" s="51"/>
      <c r="J167" s="51"/>
      <c r="L167" s="52" t="s">
        <v>143</v>
      </c>
    </row>
    <row r="168" customFormat="false" ht="25.5" hidden="false" customHeight="true" outlineLevel="0" collapsed="false">
      <c r="B168" s="53" t="s">
        <v>84</v>
      </c>
      <c r="C168" s="53" t="s">
        <v>144</v>
      </c>
      <c r="D168" s="53" t="s">
        <v>27</v>
      </c>
      <c r="E168" s="53" t="s">
        <v>28</v>
      </c>
      <c r="F168" s="53" t="s">
        <v>29</v>
      </c>
      <c r="G168" s="53" t="s">
        <v>30</v>
      </c>
      <c r="H168" s="53" t="s">
        <v>31</v>
      </c>
      <c r="I168" s="53" t="s">
        <v>32</v>
      </c>
      <c r="J168" s="53" t="s">
        <v>33</v>
      </c>
      <c r="K168" s="53" t="s">
        <v>145</v>
      </c>
      <c r="L168" s="53" t="s">
        <v>146</v>
      </c>
    </row>
    <row r="169" customFormat="false" ht="15" hidden="false" customHeight="false" outlineLevel="0" collapsed="false">
      <c r="B169" s="54" t="s">
        <v>12</v>
      </c>
      <c r="C169" s="55" t="s">
        <v>11</v>
      </c>
      <c r="D169" s="56" t="s">
        <v>147</v>
      </c>
      <c r="E169" s="56" t="s">
        <v>147</v>
      </c>
      <c r="F169" s="56" t="s">
        <v>147</v>
      </c>
      <c r="G169" s="56" t="s">
        <v>147</v>
      </c>
      <c r="H169" s="56" t="s">
        <v>147</v>
      </c>
      <c r="I169" s="56" t="s">
        <v>147</v>
      </c>
      <c r="J169" s="56" t="s">
        <v>147</v>
      </c>
      <c r="K169" s="38" t="n">
        <f aca="false">SUMPRODUCT(LEN(D169:J169))</f>
        <v>7</v>
      </c>
      <c r="L169" s="37" t="n">
        <f aca="false">SUM(K169:K171)</f>
        <v>14</v>
      </c>
    </row>
    <row r="170" customFormat="false" ht="15" hidden="false" customHeight="false" outlineLevel="0" collapsed="false">
      <c r="B170" s="54"/>
      <c r="C170" s="55" t="s">
        <v>19</v>
      </c>
      <c r="D170" s="56" t="s">
        <v>147</v>
      </c>
      <c r="E170" s="56" t="s">
        <v>147</v>
      </c>
      <c r="F170" s="56" t="s">
        <v>147</v>
      </c>
      <c r="G170" s="56" t="s">
        <v>147</v>
      </c>
      <c r="H170" s="56" t="s">
        <v>147</v>
      </c>
      <c r="I170" s="56" t="s">
        <v>147</v>
      </c>
      <c r="J170" s="56" t="s">
        <v>147</v>
      </c>
      <c r="K170" s="38" t="n">
        <f aca="false">SUMPRODUCT(LEN(D170:J170))</f>
        <v>7</v>
      </c>
      <c r="L170" s="37"/>
    </row>
    <row r="171" customFormat="false" ht="15" hidden="false" customHeight="false" outlineLevel="0" collapsed="false">
      <c r="B171" s="54"/>
      <c r="C171" s="55" t="s">
        <v>24</v>
      </c>
      <c r="D171" s="56"/>
      <c r="E171" s="56"/>
      <c r="F171" s="56"/>
      <c r="G171" s="56"/>
      <c r="H171" s="56"/>
      <c r="I171" s="56"/>
      <c r="J171" s="56"/>
      <c r="K171" s="38" t="n">
        <f aca="false">SUMPRODUCT(LEN(D171:J171))</f>
        <v>0</v>
      </c>
      <c r="L171" s="37"/>
    </row>
    <row r="172" customFormat="false" ht="15" hidden="false" customHeight="false" outlineLevel="0" collapsed="false">
      <c r="B172" s="57" t="s">
        <v>20</v>
      </c>
      <c r="C172" s="55" t="s">
        <v>11</v>
      </c>
      <c r="D172" s="56"/>
      <c r="E172" s="56"/>
      <c r="F172" s="56"/>
      <c r="G172" s="56"/>
      <c r="H172" s="56"/>
      <c r="I172" s="56"/>
      <c r="J172" s="56" t="s">
        <v>147</v>
      </c>
      <c r="K172" s="38" t="n">
        <f aca="false">SUMPRODUCT(LEN(D172:J172))</f>
        <v>1</v>
      </c>
      <c r="L172" s="37" t="n">
        <f aca="false">SUM(K172:K174)</f>
        <v>3</v>
      </c>
    </row>
    <row r="173" customFormat="false" ht="15" hidden="false" customHeight="false" outlineLevel="0" collapsed="false">
      <c r="B173" s="57"/>
      <c r="C173" s="55" t="s">
        <v>19</v>
      </c>
      <c r="D173" s="56"/>
      <c r="E173" s="56" t="s">
        <v>147</v>
      </c>
      <c r="F173" s="56"/>
      <c r="G173" s="56"/>
      <c r="H173" s="56" t="s">
        <v>147</v>
      </c>
      <c r="I173" s="56"/>
      <c r="J173" s="56"/>
      <c r="K173" s="38" t="n">
        <f aca="false">SUMPRODUCT(LEN(D173:J173))</f>
        <v>2</v>
      </c>
      <c r="L173" s="37"/>
    </row>
    <row r="174" customFormat="false" ht="15" hidden="false" customHeight="false" outlineLevel="0" collapsed="false">
      <c r="B174" s="57"/>
      <c r="C174" s="55" t="s">
        <v>24</v>
      </c>
      <c r="D174" s="56"/>
      <c r="E174" s="56"/>
      <c r="F174" s="56"/>
      <c r="G174" s="56"/>
      <c r="H174" s="56"/>
      <c r="I174" s="56"/>
      <c r="J174" s="56"/>
      <c r="K174" s="38" t="n">
        <f aca="false">SUMPRODUCT(LEN(D174:J174))</f>
        <v>0</v>
      </c>
      <c r="L174" s="37"/>
    </row>
    <row r="175" customFormat="false" ht="15" hidden="false" customHeight="false" outlineLevel="0" collapsed="false">
      <c r="B175" s="58" t="s">
        <v>25</v>
      </c>
      <c r="C175" s="55" t="s">
        <v>11</v>
      </c>
      <c r="D175" s="56"/>
      <c r="E175" s="56"/>
      <c r="F175" s="56"/>
      <c r="G175" s="56"/>
      <c r="H175" s="56"/>
      <c r="I175" s="56"/>
      <c r="J175" s="56"/>
      <c r="K175" s="38" t="n">
        <f aca="false">SUMPRODUCT(LEN(D175:J175))</f>
        <v>0</v>
      </c>
      <c r="L175" s="37" t="n">
        <f aca="false">SUM(K175:K177)</f>
        <v>2</v>
      </c>
    </row>
    <row r="176" customFormat="false" ht="15" hidden="false" customHeight="false" outlineLevel="0" collapsed="false">
      <c r="B176" s="58"/>
      <c r="C176" s="55" t="s">
        <v>19</v>
      </c>
      <c r="D176" s="56"/>
      <c r="E176" s="56"/>
      <c r="F176" s="56" t="s">
        <v>147</v>
      </c>
      <c r="G176" s="56"/>
      <c r="H176" s="56"/>
      <c r="I176" s="56" t="s">
        <v>147</v>
      </c>
      <c r="J176" s="56"/>
      <c r="K176" s="38" t="n">
        <f aca="false">SUMPRODUCT(LEN(D176:J176))</f>
        <v>2</v>
      </c>
      <c r="L176" s="37"/>
    </row>
    <row r="177" customFormat="false" ht="15" hidden="false" customHeight="false" outlineLevel="0" collapsed="false">
      <c r="B177" s="58"/>
      <c r="C177" s="55" t="s">
        <v>24</v>
      </c>
      <c r="D177" s="56"/>
      <c r="E177" s="56"/>
      <c r="F177" s="56"/>
      <c r="G177" s="56"/>
      <c r="H177" s="56"/>
      <c r="I177" s="56"/>
      <c r="J177" s="56"/>
      <c r="K177" s="38" t="n">
        <f aca="false">SUMPRODUCT(LEN(D177:J177))</f>
        <v>0</v>
      </c>
      <c r="L177" s="37"/>
    </row>
    <row r="178" customFormat="false" ht="15" hidden="false" customHeight="false" outlineLevel="0" collapsed="false">
      <c r="B178" s="59" t="s">
        <v>36</v>
      </c>
      <c r="C178" s="55" t="s">
        <v>11</v>
      </c>
      <c r="D178" s="56"/>
      <c r="E178" s="56"/>
      <c r="F178" s="56"/>
      <c r="G178" s="56"/>
      <c r="H178" s="56"/>
      <c r="I178" s="56"/>
      <c r="J178" s="56"/>
      <c r="K178" s="38" t="n">
        <f aca="false">SUMPRODUCT(LEN(D178:J178))</f>
        <v>0</v>
      </c>
      <c r="L178" s="37" t="n">
        <f aca="false">SUM(K178:K180)</f>
        <v>6</v>
      </c>
    </row>
    <row r="179" customFormat="false" ht="15" hidden="false" customHeight="false" outlineLevel="0" collapsed="false">
      <c r="B179" s="59"/>
      <c r="C179" s="55" t="s">
        <v>19</v>
      </c>
      <c r="D179" s="56"/>
      <c r="E179" s="56"/>
      <c r="F179" s="56" t="s">
        <v>149</v>
      </c>
      <c r="G179" s="56"/>
      <c r="H179" s="56"/>
      <c r="I179" s="56"/>
      <c r="J179" s="56"/>
      <c r="K179" s="38" t="n">
        <f aca="false">SUMPRODUCT(LEN(D179:J179))</f>
        <v>1</v>
      </c>
      <c r="L179" s="37"/>
    </row>
    <row r="180" customFormat="false" ht="15" hidden="false" customHeight="false" outlineLevel="0" collapsed="false">
      <c r="B180" s="59"/>
      <c r="C180" s="55" t="s">
        <v>24</v>
      </c>
      <c r="D180" s="56" t="s">
        <v>149</v>
      </c>
      <c r="E180" s="56" t="s">
        <v>149</v>
      </c>
      <c r="F180" s="56" t="s">
        <v>149</v>
      </c>
      <c r="G180" s="56" t="s">
        <v>149</v>
      </c>
      <c r="H180" s="56" t="s">
        <v>149</v>
      </c>
      <c r="I180" s="56"/>
      <c r="J180" s="56"/>
      <c r="K180" s="38" t="n">
        <f aca="false">SUMPRODUCT(LEN(D180:J180))</f>
        <v>5</v>
      </c>
      <c r="L180" s="37"/>
    </row>
    <row r="181" customFormat="false" ht="15" hidden="false" customHeight="false" outlineLevel="0" collapsed="false">
      <c r="B181" s="60" t="s">
        <v>40</v>
      </c>
      <c r="C181" s="55" t="s">
        <v>11</v>
      </c>
      <c r="D181" s="56"/>
      <c r="E181" s="56"/>
      <c r="F181" s="56"/>
      <c r="G181" s="56"/>
      <c r="H181" s="56"/>
      <c r="I181" s="56"/>
      <c r="J181" s="56"/>
      <c r="K181" s="38" t="n">
        <f aca="false">SUMPRODUCT(LEN(D181:J181))</f>
        <v>0</v>
      </c>
      <c r="L181" s="37" t="n">
        <f aca="false">SUM(K181:K183)</f>
        <v>4</v>
      </c>
    </row>
    <row r="182" customFormat="false" ht="15" hidden="false" customHeight="false" outlineLevel="0" collapsed="false">
      <c r="B182" s="60"/>
      <c r="C182" s="55" t="s">
        <v>19</v>
      </c>
      <c r="D182" s="56"/>
      <c r="E182" s="56"/>
      <c r="F182" s="56"/>
      <c r="G182" s="56"/>
      <c r="H182" s="56"/>
      <c r="I182" s="56"/>
      <c r="J182" s="56"/>
      <c r="K182" s="38" t="n">
        <f aca="false">SUMPRODUCT(LEN(D182:J182))</f>
        <v>0</v>
      </c>
      <c r="L182" s="37"/>
    </row>
    <row r="183" customFormat="false" ht="15" hidden="false" customHeight="false" outlineLevel="0" collapsed="false">
      <c r="B183" s="60"/>
      <c r="C183" s="55" t="s">
        <v>24</v>
      </c>
      <c r="D183" s="56" t="s">
        <v>149</v>
      </c>
      <c r="E183" s="56"/>
      <c r="F183" s="56" t="s">
        <v>149</v>
      </c>
      <c r="G183" s="56"/>
      <c r="H183" s="56" t="s">
        <v>149</v>
      </c>
      <c r="I183" s="56"/>
      <c r="J183" s="56" t="s">
        <v>149</v>
      </c>
      <c r="K183" s="38" t="n">
        <f aca="false">SUMPRODUCT(LEN(D183:J183))</f>
        <v>4</v>
      </c>
      <c r="L183" s="37"/>
    </row>
    <row r="184" customFormat="false" ht="15" hidden="false" customHeight="false" outlineLevel="0" collapsed="false">
      <c r="B184" s="61" t="s">
        <v>14</v>
      </c>
      <c r="C184" s="55" t="s">
        <v>11</v>
      </c>
      <c r="D184" s="56"/>
      <c r="E184" s="56"/>
      <c r="F184" s="56"/>
      <c r="G184" s="56"/>
      <c r="H184" s="56"/>
      <c r="I184" s="56"/>
      <c r="J184" s="56"/>
      <c r="K184" s="38" t="n">
        <f aca="false">SUMPRODUCT(LEN(D184:J184))</f>
        <v>0</v>
      </c>
      <c r="L184" s="37" t="n">
        <f aca="false">SUM(K184:K186)</f>
        <v>3</v>
      </c>
    </row>
    <row r="185" customFormat="false" ht="15" hidden="false" customHeight="false" outlineLevel="0" collapsed="false">
      <c r="B185" s="61"/>
      <c r="C185" s="55" t="s">
        <v>19</v>
      </c>
      <c r="D185" s="56"/>
      <c r="E185" s="56"/>
      <c r="F185" s="56"/>
      <c r="G185" s="56"/>
      <c r="H185" s="56"/>
      <c r="I185" s="56"/>
      <c r="J185" s="56"/>
      <c r="K185" s="38" t="n">
        <f aca="false">SUMPRODUCT(LEN(D185:J185))</f>
        <v>0</v>
      </c>
      <c r="L185" s="37"/>
    </row>
    <row r="186" customFormat="false" ht="15" hidden="false" customHeight="false" outlineLevel="0" collapsed="false">
      <c r="B186" s="61"/>
      <c r="C186" s="55" t="s">
        <v>24</v>
      </c>
      <c r="D186" s="56" t="s">
        <v>149</v>
      </c>
      <c r="E186" s="56"/>
      <c r="F186" s="56"/>
      <c r="G186" s="56" t="s">
        <v>149</v>
      </c>
      <c r="H186" s="56"/>
      <c r="I186" s="56" t="s">
        <v>149</v>
      </c>
      <c r="J186" s="56"/>
      <c r="K186" s="38" t="n">
        <f aca="false">SUMPRODUCT(LEN(D186:J186))</f>
        <v>3</v>
      </c>
      <c r="L186" s="37"/>
    </row>
    <row r="187" customFormat="false" ht="15" hidden="false" customHeight="false" outlineLevel="0" collapsed="false">
      <c r="B187" s="62" t="s">
        <v>46</v>
      </c>
      <c r="C187" s="55" t="s">
        <v>11</v>
      </c>
      <c r="D187" s="56"/>
      <c r="E187" s="56"/>
      <c r="F187" s="56"/>
      <c r="G187" s="56"/>
      <c r="H187" s="56"/>
      <c r="I187" s="56"/>
      <c r="J187" s="56"/>
      <c r="K187" s="38" t="n">
        <f aca="false">SUMPRODUCT(LEN(D187:J187))</f>
        <v>0</v>
      </c>
      <c r="L187" s="37" t="n">
        <f aca="false">SUM(K187:K189)</f>
        <v>3</v>
      </c>
    </row>
    <row r="188" customFormat="false" ht="15" hidden="false" customHeight="false" outlineLevel="0" collapsed="false">
      <c r="B188" s="62"/>
      <c r="C188" s="55" t="s">
        <v>19</v>
      </c>
      <c r="D188" s="56"/>
      <c r="E188" s="56"/>
      <c r="F188" s="56"/>
      <c r="G188" s="56"/>
      <c r="H188" s="56"/>
      <c r="I188" s="56"/>
      <c r="J188" s="56"/>
      <c r="K188" s="38" t="n">
        <f aca="false">SUMPRODUCT(LEN(D188:J188))</f>
        <v>0</v>
      </c>
      <c r="L188" s="37"/>
    </row>
    <row r="189" customFormat="false" ht="15" hidden="false" customHeight="false" outlineLevel="0" collapsed="false">
      <c r="B189" s="62"/>
      <c r="C189" s="55" t="s">
        <v>24</v>
      </c>
      <c r="D189" s="56"/>
      <c r="E189" s="56" t="s">
        <v>149</v>
      </c>
      <c r="F189" s="56"/>
      <c r="G189" s="56" t="s">
        <v>149</v>
      </c>
      <c r="H189" s="56"/>
      <c r="I189" s="56" t="s">
        <v>149</v>
      </c>
      <c r="J189" s="56"/>
      <c r="K189" s="38" t="n">
        <f aca="false">SUMPRODUCT(LEN(D189:J189))</f>
        <v>3</v>
      </c>
      <c r="L189" s="37"/>
    </row>
    <row r="190" customFormat="false" ht="15" hidden="false" customHeight="false" outlineLevel="0" collapsed="false">
      <c r="B190" s="63" t="s">
        <v>49</v>
      </c>
      <c r="C190" s="55" t="s">
        <v>11</v>
      </c>
      <c r="D190" s="56"/>
      <c r="E190" s="56"/>
      <c r="F190" s="56"/>
      <c r="G190" s="56"/>
      <c r="H190" s="56"/>
      <c r="I190" s="56"/>
      <c r="J190" s="56"/>
      <c r="K190" s="38" t="n">
        <f aca="false">SUMPRODUCT(LEN(D190:J190))</f>
        <v>0</v>
      </c>
      <c r="L190" s="37" t="n">
        <f aca="false">SUM(K190:K192)</f>
        <v>2</v>
      </c>
    </row>
    <row r="191" customFormat="false" ht="15" hidden="false" customHeight="false" outlineLevel="0" collapsed="false">
      <c r="B191" s="63"/>
      <c r="C191" s="55" t="s">
        <v>19</v>
      </c>
      <c r="D191" s="56" t="s">
        <v>149</v>
      </c>
      <c r="E191" s="56"/>
      <c r="F191" s="56"/>
      <c r="G191" s="56"/>
      <c r="H191" s="56" t="s">
        <v>149</v>
      </c>
      <c r="I191" s="56"/>
      <c r="J191" s="56"/>
      <c r="K191" s="38" t="n">
        <f aca="false">SUMPRODUCT(LEN(D191:J191))</f>
        <v>2</v>
      </c>
      <c r="L191" s="37"/>
    </row>
    <row r="192" customFormat="false" ht="15" hidden="false" customHeight="false" outlineLevel="0" collapsed="false">
      <c r="B192" s="63"/>
      <c r="C192" s="55" t="s">
        <v>24</v>
      </c>
      <c r="D192" s="56"/>
      <c r="E192" s="56"/>
      <c r="F192" s="56"/>
      <c r="G192" s="56"/>
      <c r="H192" s="56"/>
      <c r="I192" s="56"/>
      <c r="J192" s="56"/>
      <c r="K192" s="38" t="n">
        <f aca="false">SUMPRODUCT(LEN(D192:J192))</f>
        <v>0</v>
      </c>
      <c r="L192" s="37"/>
    </row>
    <row r="193" customFormat="false" ht="15" hidden="false" customHeight="false" outlineLevel="0" collapsed="false">
      <c r="B193" s="64" t="s">
        <v>53</v>
      </c>
      <c r="C193" s="55" t="s">
        <v>11</v>
      </c>
      <c r="D193" s="56"/>
      <c r="E193" s="56"/>
      <c r="F193" s="56"/>
      <c r="G193" s="56"/>
      <c r="H193" s="56"/>
      <c r="I193" s="56"/>
      <c r="J193" s="56"/>
      <c r="K193" s="38" t="n">
        <f aca="false">SUMPRODUCT(LEN(D193:J193))</f>
        <v>0</v>
      </c>
      <c r="L193" s="37" t="n">
        <f aca="false">SUM(K193:K195)</f>
        <v>1</v>
      </c>
    </row>
    <row r="194" customFormat="false" ht="15" hidden="false" customHeight="false" outlineLevel="0" collapsed="false">
      <c r="B194" s="64"/>
      <c r="C194" s="55" t="s">
        <v>19</v>
      </c>
      <c r="D194" s="56"/>
      <c r="E194" s="56"/>
      <c r="F194" s="56"/>
      <c r="G194" s="56" t="s">
        <v>149</v>
      </c>
      <c r="H194" s="56"/>
      <c r="I194" s="56"/>
      <c r="J194" s="56"/>
      <c r="K194" s="38" t="n">
        <f aca="false">SUMPRODUCT(LEN(D194:J194))</f>
        <v>1</v>
      </c>
      <c r="L194" s="37"/>
    </row>
    <row r="195" customFormat="false" ht="15" hidden="false" customHeight="false" outlineLevel="0" collapsed="false">
      <c r="B195" s="64"/>
      <c r="C195" s="55" t="s">
        <v>24</v>
      </c>
      <c r="D195" s="56"/>
      <c r="E195" s="56"/>
      <c r="F195" s="56"/>
      <c r="G195" s="56"/>
      <c r="H195" s="56"/>
      <c r="I195" s="56"/>
      <c r="J195" s="56"/>
      <c r="K195" s="38" t="n">
        <f aca="false">SUMPRODUCT(LEN(D195:J195))</f>
        <v>0</v>
      </c>
      <c r="L195" s="37"/>
    </row>
    <row r="196" customFormat="false" ht="15" hidden="false" customHeight="false" outlineLevel="0" collapsed="false">
      <c r="B196" s="65" t="s">
        <v>56</v>
      </c>
      <c r="C196" s="55" t="s">
        <v>11</v>
      </c>
      <c r="D196" s="56"/>
      <c r="E196" s="56"/>
      <c r="F196" s="56"/>
      <c r="G196" s="56"/>
      <c r="H196" s="56"/>
      <c r="I196" s="56"/>
      <c r="J196" s="56"/>
      <c r="K196" s="38" t="n">
        <f aca="false">SUMPRODUCT(LEN(D196:J196))</f>
        <v>0</v>
      </c>
      <c r="L196" s="37" t="n">
        <f aca="false">SUM(K196:K198)</f>
        <v>2</v>
      </c>
    </row>
    <row r="197" customFormat="false" ht="15" hidden="false" customHeight="false" outlineLevel="0" collapsed="false">
      <c r="B197" s="65"/>
      <c r="C197" s="55" t="s">
        <v>19</v>
      </c>
      <c r="D197" s="56"/>
      <c r="E197" s="56"/>
      <c r="F197" s="56"/>
      <c r="G197" s="56"/>
      <c r="H197" s="56"/>
      <c r="I197" s="56"/>
      <c r="J197" s="56"/>
      <c r="K197" s="38" t="n">
        <f aca="false">SUMPRODUCT(LEN(D197:J197))</f>
        <v>0</v>
      </c>
      <c r="L197" s="37"/>
    </row>
    <row r="198" customFormat="false" ht="15" hidden="false" customHeight="false" outlineLevel="0" collapsed="false">
      <c r="B198" s="65"/>
      <c r="C198" s="55" t="s">
        <v>24</v>
      </c>
      <c r="D198" s="56"/>
      <c r="E198" s="56" t="s">
        <v>149</v>
      </c>
      <c r="F198" s="56"/>
      <c r="G198" s="56"/>
      <c r="H198" s="56"/>
      <c r="I198" s="56" t="s">
        <v>149</v>
      </c>
      <c r="J198" s="56"/>
      <c r="K198" s="38" t="n">
        <f aca="false">SUMPRODUCT(LEN(D198:J198))</f>
        <v>2</v>
      </c>
      <c r="L198" s="37"/>
    </row>
    <row r="199" customFormat="false" ht="15" hidden="false" customHeight="false" outlineLevel="0" collapsed="false">
      <c r="B199" s="66" t="s">
        <v>59</v>
      </c>
      <c r="C199" s="55" t="s">
        <v>11</v>
      </c>
      <c r="D199" s="56"/>
      <c r="E199" s="56"/>
      <c r="F199" s="56"/>
      <c r="G199" s="56"/>
      <c r="H199" s="56"/>
      <c r="I199" s="56"/>
      <c r="J199" s="56"/>
      <c r="K199" s="38" t="n">
        <f aca="false">SUMPRODUCT(LEN(D199:J199))</f>
        <v>0</v>
      </c>
      <c r="L199" s="37" t="n">
        <f aca="false">SUM(K199:K201)</f>
        <v>7</v>
      </c>
    </row>
    <row r="200" customFormat="false" ht="15" hidden="false" customHeight="false" outlineLevel="0" collapsed="false">
      <c r="B200" s="66"/>
      <c r="C200" s="55" t="s">
        <v>19</v>
      </c>
      <c r="D200" s="56"/>
      <c r="E200" s="56"/>
      <c r="F200" s="56"/>
      <c r="G200" s="56"/>
      <c r="H200" s="56"/>
      <c r="I200" s="56"/>
      <c r="J200" s="56"/>
      <c r="K200" s="38" t="n">
        <f aca="false">SUMPRODUCT(LEN(D200:J200))</f>
        <v>0</v>
      </c>
      <c r="L200" s="37"/>
    </row>
    <row r="201" customFormat="false" ht="15" hidden="false" customHeight="false" outlineLevel="0" collapsed="false">
      <c r="B201" s="66"/>
      <c r="C201" s="55" t="s">
        <v>24</v>
      </c>
      <c r="D201" s="56" t="s">
        <v>149</v>
      </c>
      <c r="E201" s="56" t="s">
        <v>149</v>
      </c>
      <c r="F201" s="56" t="s">
        <v>149</v>
      </c>
      <c r="G201" s="56" t="s">
        <v>150</v>
      </c>
      <c r="H201" s="56" t="s">
        <v>149</v>
      </c>
      <c r="I201" s="56" t="s">
        <v>149</v>
      </c>
      <c r="J201" s="56"/>
      <c r="K201" s="38" t="n">
        <f aca="false">SUMPRODUCT(LEN(D201:J201))</f>
        <v>7</v>
      </c>
      <c r="L201" s="37"/>
    </row>
    <row r="202" customFormat="false" ht="15" hidden="false" customHeight="false" outlineLevel="0" collapsed="false">
      <c r="B202" s="67" t="s">
        <v>62</v>
      </c>
      <c r="C202" s="55" t="s">
        <v>11</v>
      </c>
      <c r="D202" s="56"/>
      <c r="E202" s="56"/>
      <c r="F202" s="56"/>
      <c r="G202" s="56"/>
      <c r="H202" s="56"/>
      <c r="I202" s="56"/>
      <c r="J202" s="56"/>
      <c r="K202" s="38" t="n">
        <f aca="false">SUMPRODUCT(LEN(D202:J202))</f>
        <v>0</v>
      </c>
      <c r="L202" s="37" t="n">
        <f aca="false">SUM(K202:K204)</f>
        <v>2</v>
      </c>
    </row>
    <row r="203" customFormat="false" ht="15" hidden="false" customHeight="false" outlineLevel="0" collapsed="false">
      <c r="B203" s="67"/>
      <c r="C203" s="55" t="s">
        <v>19</v>
      </c>
      <c r="D203" s="56"/>
      <c r="E203" s="56"/>
      <c r="F203" s="56"/>
      <c r="G203" s="56"/>
      <c r="H203" s="56"/>
      <c r="I203" s="56"/>
      <c r="J203" s="56"/>
      <c r="K203" s="38" t="n">
        <f aca="false">SUMPRODUCT(LEN(D203:J203))</f>
        <v>0</v>
      </c>
      <c r="L203" s="37"/>
    </row>
    <row r="204" customFormat="false" ht="15" hidden="false" customHeight="false" outlineLevel="0" collapsed="false">
      <c r="B204" s="67"/>
      <c r="C204" s="55" t="s">
        <v>24</v>
      </c>
      <c r="D204" s="56"/>
      <c r="E204" s="56"/>
      <c r="F204" s="56" t="s">
        <v>149</v>
      </c>
      <c r="G204" s="56"/>
      <c r="H204" s="56"/>
      <c r="I204" s="56"/>
      <c r="J204" s="56" t="s">
        <v>149</v>
      </c>
      <c r="K204" s="38" t="n">
        <f aca="false">SUMPRODUCT(LEN(D204:J204))</f>
        <v>2</v>
      </c>
      <c r="L204" s="37"/>
    </row>
    <row r="206" customFormat="false" ht="19.5" hidden="false" customHeight="true" outlineLevel="0" collapsed="false">
      <c r="B206" s="51" t="str">
        <f aca="false">"TABLEAU 6/12  -  PROGRAMME DE SEPTEMBRE 2027"&amp;IF($C$6="septembre 2027","          &lt;&lt;&lt; MOIS ACTUELLEMENT FILTRE","")</f>
        <v>TABLEAU 6/12  -  PROGRAMME DE SEPTEMBRE 2027</v>
      </c>
      <c r="C206" s="51"/>
      <c r="D206" s="51"/>
      <c r="E206" s="51"/>
      <c r="F206" s="51"/>
      <c r="G206" s="51"/>
      <c r="H206" s="51"/>
      <c r="I206" s="51"/>
      <c r="J206" s="51"/>
      <c r="L206" s="52" t="s">
        <v>143</v>
      </c>
    </row>
    <row r="207" customFormat="false" ht="25.5" hidden="false" customHeight="true" outlineLevel="0" collapsed="false">
      <c r="B207" s="53" t="s">
        <v>84</v>
      </c>
      <c r="C207" s="53" t="s">
        <v>144</v>
      </c>
      <c r="D207" s="53" t="s">
        <v>27</v>
      </c>
      <c r="E207" s="53" t="s">
        <v>28</v>
      </c>
      <c r="F207" s="53" t="s">
        <v>29</v>
      </c>
      <c r="G207" s="53" t="s">
        <v>30</v>
      </c>
      <c r="H207" s="53" t="s">
        <v>31</v>
      </c>
      <c r="I207" s="53" t="s">
        <v>32</v>
      </c>
      <c r="J207" s="53" t="s">
        <v>33</v>
      </c>
      <c r="K207" s="53" t="s">
        <v>145</v>
      </c>
      <c r="L207" s="53" t="s">
        <v>146</v>
      </c>
    </row>
    <row r="208" customFormat="false" ht="15" hidden="false" customHeight="false" outlineLevel="0" collapsed="false">
      <c r="B208" s="54" t="s">
        <v>12</v>
      </c>
      <c r="C208" s="55" t="s">
        <v>11</v>
      </c>
      <c r="D208" s="56" t="s">
        <v>147</v>
      </c>
      <c r="E208" s="56" t="s">
        <v>147</v>
      </c>
      <c r="F208" s="56" t="s">
        <v>147</v>
      </c>
      <c r="G208" s="56" t="s">
        <v>147</v>
      </c>
      <c r="H208" s="56" t="s">
        <v>147</v>
      </c>
      <c r="I208" s="56" t="s">
        <v>147</v>
      </c>
      <c r="J208" s="56" t="s">
        <v>147</v>
      </c>
      <c r="K208" s="38" t="n">
        <f aca="false">SUMPRODUCT(LEN(D208:J208))</f>
        <v>7</v>
      </c>
      <c r="L208" s="37" t="n">
        <f aca="false">SUM(K208:K210)</f>
        <v>11</v>
      </c>
    </row>
    <row r="209" customFormat="false" ht="15" hidden="false" customHeight="false" outlineLevel="0" collapsed="false">
      <c r="B209" s="54"/>
      <c r="C209" s="55" t="s">
        <v>19</v>
      </c>
      <c r="D209" s="56" t="s">
        <v>147</v>
      </c>
      <c r="E209" s="56"/>
      <c r="F209" s="56"/>
      <c r="G209" s="56"/>
      <c r="H209" s="56" t="s">
        <v>147</v>
      </c>
      <c r="I209" s="56"/>
      <c r="J209" s="56"/>
      <c r="K209" s="38" t="n">
        <f aca="false">SUMPRODUCT(LEN(D209:J209))</f>
        <v>2</v>
      </c>
      <c r="L209" s="37"/>
    </row>
    <row r="210" customFormat="false" ht="15" hidden="false" customHeight="false" outlineLevel="0" collapsed="false">
      <c r="B210" s="54"/>
      <c r="C210" s="55" t="s">
        <v>24</v>
      </c>
      <c r="D210" s="56" t="s">
        <v>148</v>
      </c>
      <c r="E210" s="56"/>
      <c r="F210" s="56"/>
      <c r="G210" s="56"/>
      <c r="H210" s="56"/>
      <c r="I210" s="56"/>
      <c r="J210" s="56"/>
      <c r="K210" s="38" t="n">
        <f aca="false">SUMPRODUCT(LEN(D210:J210))</f>
        <v>2</v>
      </c>
      <c r="L210" s="37"/>
    </row>
    <row r="211" customFormat="false" ht="15" hidden="false" customHeight="false" outlineLevel="0" collapsed="false">
      <c r="B211" s="57" t="s">
        <v>20</v>
      </c>
      <c r="C211" s="55" t="s">
        <v>11</v>
      </c>
      <c r="D211" s="56"/>
      <c r="E211" s="56"/>
      <c r="F211" s="56"/>
      <c r="G211" s="56"/>
      <c r="H211" s="56"/>
      <c r="I211" s="56"/>
      <c r="J211" s="56" t="s">
        <v>147</v>
      </c>
      <c r="K211" s="38" t="n">
        <f aca="false">SUMPRODUCT(LEN(D211:J211))</f>
        <v>1</v>
      </c>
      <c r="L211" s="37" t="n">
        <f aca="false">SUM(K211:K213)</f>
        <v>3</v>
      </c>
    </row>
    <row r="212" customFormat="false" ht="15" hidden="false" customHeight="false" outlineLevel="0" collapsed="false">
      <c r="B212" s="57"/>
      <c r="C212" s="55" t="s">
        <v>19</v>
      </c>
      <c r="D212" s="56"/>
      <c r="E212" s="56" t="s">
        <v>147</v>
      </c>
      <c r="F212" s="56"/>
      <c r="G212" s="56"/>
      <c r="H212" s="56" t="s">
        <v>147</v>
      </c>
      <c r="I212" s="56"/>
      <c r="J212" s="56"/>
      <c r="K212" s="38" t="n">
        <f aca="false">SUMPRODUCT(LEN(D212:J212))</f>
        <v>2</v>
      </c>
      <c r="L212" s="37"/>
    </row>
    <row r="213" customFormat="false" ht="15" hidden="false" customHeight="false" outlineLevel="0" collapsed="false">
      <c r="B213" s="57"/>
      <c r="C213" s="55" t="s">
        <v>24</v>
      </c>
      <c r="D213" s="56"/>
      <c r="E213" s="56"/>
      <c r="F213" s="56"/>
      <c r="G213" s="56"/>
      <c r="H213" s="56"/>
      <c r="I213" s="56"/>
      <c r="J213" s="56"/>
      <c r="K213" s="38" t="n">
        <f aca="false">SUMPRODUCT(LEN(D213:J213))</f>
        <v>0</v>
      </c>
      <c r="L213" s="37"/>
    </row>
    <row r="214" customFormat="false" ht="15" hidden="false" customHeight="false" outlineLevel="0" collapsed="false">
      <c r="B214" s="58" t="s">
        <v>25</v>
      </c>
      <c r="C214" s="55" t="s">
        <v>11</v>
      </c>
      <c r="D214" s="56"/>
      <c r="E214" s="56"/>
      <c r="F214" s="56"/>
      <c r="G214" s="56"/>
      <c r="H214" s="56"/>
      <c r="I214" s="56"/>
      <c r="J214" s="56"/>
      <c r="K214" s="38" t="n">
        <f aca="false">SUMPRODUCT(LEN(D214:J214))</f>
        <v>0</v>
      </c>
      <c r="L214" s="37" t="n">
        <f aca="false">SUM(K214:K216)</f>
        <v>2</v>
      </c>
    </row>
    <row r="215" customFormat="false" ht="15" hidden="false" customHeight="false" outlineLevel="0" collapsed="false">
      <c r="B215" s="58"/>
      <c r="C215" s="55" t="s">
        <v>19</v>
      </c>
      <c r="D215" s="56"/>
      <c r="E215" s="56"/>
      <c r="F215" s="56" t="s">
        <v>147</v>
      </c>
      <c r="G215" s="56"/>
      <c r="H215" s="56"/>
      <c r="I215" s="56" t="s">
        <v>147</v>
      </c>
      <c r="J215" s="56"/>
      <c r="K215" s="38" t="n">
        <f aca="false">SUMPRODUCT(LEN(D215:J215))</f>
        <v>2</v>
      </c>
      <c r="L215" s="37"/>
    </row>
    <row r="216" customFormat="false" ht="15" hidden="false" customHeight="false" outlineLevel="0" collapsed="false">
      <c r="B216" s="58"/>
      <c r="C216" s="55" t="s">
        <v>24</v>
      </c>
      <c r="D216" s="56"/>
      <c r="E216" s="56"/>
      <c r="F216" s="56"/>
      <c r="G216" s="56"/>
      <c r="H216" s="56"/>
      <c r="I216" s="56"/>
      <c r="J216" s="56"/>
      <c r="K216" s="38" t="n">
        <f aca="false">SUMPRODUCT(LEN(D216:J216))</f>
        <v>0</v>
      </c>
      <c r="L216" s="37"/>
    </row>
    <row r="217" customFormat="false" ht="15" hidden="false" customHeight="false" outlineLevel="0" collapsed="false">
      <c r="B217" s="59" t="s">
        <v>36</v>
      </c>
      <c r="C217" s="55" t="s">
        <v>11</v>
      </c>
      <c r="D217" s="56"/>
      <c r="E217" s="56"/>
      <c r="F217" s="56"/>
      <c r="G217" s="56"/>
      <c r="H217" s="56"/>
      <c r="I217" s="56"/>
      <c r="J217" s="56"/>
      <c r="K217" s="38" t="n">
        <f aca="false">SUMPRODUCT(LEN(D217:J217))</f>
        <v>0</v>
      </c>
      <c r="L217" s="37" t="n">
        <f aca="false">SUM(K217:K219)</f>
        <v>6</v>
      </c>
    </row>
    <row r="218" customFormat="false" ht="15" hidden="false" customHeight="false" outlineLevel="0" collapsed="false">
      <c r="B218" s="59"/>
      <c r="C218" s="55" t="s">
        <v>19</v>
      </c>
      <c r="D218" s="56"/>
      <c r="E218" s="56"/>
      <c r="F218" s="56" t="s">
        <v>149</v>
      </c>
      <c r="G218" s="56"/>
      <c r="H218" s="56"/>
      <c r="I218" s="56"/>
      <c r="J218" s="56"/>
      <c r="K218" s="38" t="n">
        <f aca="false">SUMPRODUCT(LEN(D218:J218))</f>
        <v>1</v>
      </c>
      <c r="L218" s="37"/>
    </row>
    <row r="219" customFormat="false" ht="15" hidden="false" customHeight="false" outlineLevel="0" collapsed="false">
      <c r="B219" s="59"/>
      <c r="C219" s="55" t="s">
        <v>24</v>
      </c>
      <c r="D219" s="56" t="s">
        <v>149</v>
      </c>
      <c r="E219" s="56" t="s">
        <v>149</v>
      </c>
      <c r="F219" s="56" t="s">
        <v>149</v>
      </c>
      <c r="G219" s="56" t="s">
        <v>149</v>
      </c>
      <c r="H219" s="56" t="s">
        <v>149</v>
      </c>
      <c r="I219" s="56"/>
      <c r="J219" s="56"/>
      <c r="K219" s="38" t="n">
        <f aca="false">SUMPRODUCT(LEN(D219:J219))</f>
        <v>5</v>
      </c>
      <c r="L219" s="37"/>
    </row>
    <row r="220" customFormat="false" ht="15" hidden="false" customHeight="false" outlineLevel="0" collapsed="false">
      <c r="B220" s="60" t="s">
        <v>40</v>
      </c>
      <c r="C220" s="55" t="s">
        <v>11</v>
      </c>
      <c r="D220" s="56"/>
      <c r="E220" s="56"/>
      <c r="F220" s="56"/>
      <c r="G220" s="56"/>
      <c r="H220" s="56"/>
      <c r="I220" s="56"/>
      <c r="J220" s="56"/>
      <c r="K220" s="38" t="n">
        <f aca="false">SUMPRODUCT(LEN(D220:J220))</f>
        <v>0</v>
      </c>
      <c r="L220" s="37" t="n">
        <f aca="false">SUM(K220:K222)</f>
        <v>4</v>
      </c>
    </row>
    <row r="221" customFormat="false" ht="15" hidden="false" customHeight="false" outlineLevel="0" collapsed="false">
      <c r="B221" s="60"/>
      <c r="C221" s="55" t="s">
        <v>19</v>
      </c>
      <c r="D221" s="56"/>
      <c r="E221" s="56"/>
      <c r="F221" s="56"/>
      <c r="G221" s="56"/>
      <c r="H221" s="56"/>
      <c r="I221" s="56"/>
      <c r="J221" s="56"/>
      <c r="K221" s="38" t="n">
        <f aca="false">SUMPRODUCT(LEN(D221:J221))</f>
        <v>0</v>
      </c>
      <c r="L221" s="37"/>
    </row>
    <row r="222" customFormat="false" ht="15" hidden="false" customHeight="false" outlineLevel="0" collapsed="false">
      <c r="B222" s="60"/>
      <c r="C222" s="55" t="s">
        <v>24</v>
      </c>
      <c r="D222" s="56" t="s">
        <v>149</v>
      </c>
      <c r="E222" s="56"/>
      <c r="F222" s="56" t="s">
        <v>149</v>
      </c>
      <c r="G222" s="56"/>
      <c r="H222" s="56" t="s">
        <v>149</v>
      </c>
      <c r="I222" s="56"/>
      <c r="J222" s="56" t="s">
        <v>149</v>
      </c>
      <c r="K222" s="38" t="n">
        <f aca="false">SUMPRODUCT(LEN(D222:J222))</f>
        <v>4</v>
      </c>
      <c r="L222" s="37"/>
    </row>
    <row r="223" customFormat="false" ht="15" hidden="false" customHeight="false" outlineLevel="0" collapsed="false">
      <c r="B223" s="61" t="s">
        <v>14</v>
      </c>
      <c r="C223" s="55" t="s">
        <v>11</v>
      </c>
      <c r="D223" s="56"/>
      <c r="E223" s="56"/>
      <c r="F223" s="56"/>
      <c r="G223" s="56"/>
      <c r="H223" s="56"/>
      <c r="I223" s="56"/>
      <c r="J223" s="56"/>
      <c r="K223" s="38" t="n">
        <f aca="false">SUMPRODUCT(LEN(D223:J223))</f>
        <v>0</v>
      </c>
      <c r="L223" s="37" t="n">
        <f aca="false">SUM(K223:K225)</f>
        <v>3</v>
      </c>
    </row>
    <row r="224" customFormat="false" ht="15" hidden="false" customHeight="false" outlineLevel="0" collapsed="false">
      <c r="B224" s="61"/>
      <c r="C224" s="55" t="s">
        <v>19</v>
      </c>
      <c r="D224" s="56"/>
      <c r="E224" s="56"/>
      <c r="F224" s="56"/>
      <c r="G224" s="56"/>
      <c r="H224" s="56"/>
      <c r="I224" s="56"/>
      <c r="J224" s="56"/>
      <c r="K224" s="38" t="n">
        <f aca="false">SUMPRODUCT(LEN(D224:J224))</f>
        <v>0</v>
      </c>
      <c r="L224" s="37"/>
    </row>
    <row r="225" customFormat="false" ht="15" hidden="false" customHeight="false" outlineLevel="0" collapsed="false">
      <c r="B225" s="61"/>
      <c r="C225" s="55" t="s">
        <v>24</v>
      </c>
      <c r="D225" s="56" t="s">
        <v>149</v>
      </c>
      <c r="E225" s="56"/>
      <c r="F225" s="56"/>
      <c r="G225" s="56" t="s">
        <v>149</v>
      </c>
      <c r="H225" s="56"/>
      <c r="I225" s="56" t="s">
        <v>149</v>
      </c>
      <c r="J225" s="56"/>
      <c r="K225" s="38" t="n">
        <f aca="false">SUMPRODUCT(LEN(D225:J225))</f>
        <v>3</v>
      </c>
      <c r="L225" s="37"/>
    </row>
    <row r="226" customFormat="false" ht="15" hidden="false" customHeight="false" outlineLevel="0" collapsed="false">
      <c r="B226" s="62" t="s">
        <v>46</v>
      </c>
      <c r="C226" s="55" t="s">
        <v>11</v>
      </c>
      <c r="D226" s="56"/>
      <c r="E226" s="56"/>
      <c r="F226" s="56"/>
      <c r="G226" s="56"/>
      <c r="H226" s="56"/>
      <c r="I226" s="56"/>
      <c r="J226" s="56"/>
      <c r="K226" s="38" t="n">
        <f aca="false">SUMPRODUCT(LEN(D226:J226))</f>
        <v>0</v>
      </c>
      <c r="L226" s="37" t="n">
        <f aca="false">SUM(K226:K228)</f>
        <v>3</v>
      </c>
    </row>
    <row r="227" customFormat="false" ht="15" hidden="false" customHeight="false" outlineLevel="0" collapsed="false">
      <c r="B227" s="62"/>
      <c r="C227" s="55" t="s">
        <v>19</v>
      </c>
      <c r="D227" s="56"/>
      <c r="E227" s="56"/>
      <c r="F227" s="56"/>
      <c r="G227" s="56"/>
      <c r="H227" s="56"/>
      <c r="I227" s="56"/>
      <c r="J227" s="56"/>
      <c r="K227" s="38" t="n">
        <f aca="false">SUMPRODUCT(LEN(D227:J227))</f>
        <v>0</v>
      </c>
      <c r="L227" s="37"/>
    </row>
    <row r="228" customFormat="false" ht="15" hidden="false" customHeight="false" outlineLevel="0" collapsed="false">
      <c r="B228" s="62"/>
      <c r="C228" s="55" t="s">
        <v>24</v>
      </c>
      <c r="D228" s="56"/>
      <c r="E228" s="56" t="s">
        <v>149</v>
      </c>
      <c r="F228" s="56"/>
      <c r="G228" s="56" t="s">
        <v>149</v>
      </c>
      <c r="H228" s="56"/>
      <c r="I228" s="56" t="s">
        <v>149</v>
      </c>
      <c r="J228" s="56"/>
      <c r="K228" s="38" t="n">
        <f aca="false">SUMPRODUCT(LEN(D228:J228))</f>
        <v>3</v>
      </c>
      <c r="L228" s="37"/>
    </row>
    <row r="229" customFormat="false" ht="15" hidden="false" customHeight="false" outlineLevel="0" collapsed="false">
      <c r="B229" s="63" t="s">
        <v>49</v>
      </c>
      <c r="C229" s="55" t="s">
        <v>11</v>
      </c>
      <c r="D229" s="56"/>
      <c r="E229" s="56"/>
      <c r="F229" s="56"/>
      <c r="G229" s="56"/>
      <c r="H229" s="56"/>
      <c r="I229" s="56"/>
      <c r="J229" s="56"/>
      <c r="K229" s="38" t="n">
        <f aca="false">SUMPRODUCT(LEN(D229:J229))</f>
        <v>0</v>
      </c>
      <c r="L229" s="37" t="n">
        <f aca="false">SUM(K229:K231)</f>
        <v>2</v>
      </c>
    </row>
    <row r="230" customFormat="false" ht="15" hidden="false" customHeight="false" outlineLevel="0" collapsed="false">
      <c r="B230" s="63"/>
      <c r="C230" s="55" t="s">
        <v>19</v>
      </c>
      <c r="D230" s="56" t="s">
        <v>149</v>
      </c>
      <c r="E230" s="56"/>
      <c r="F230" s="56"/>
      <c r="G230" s="56"/>
      <c r="H230" s="56" t="s">
        <v>149</v>
      </c>
      <c r="I230" s="56"/>
      <c r="J230" s="56"/>
      <c r="K230" s="38" t="n">
        <f aca="false">SUMPRODUCT(LEN(D230:J230))</f>
        <v>2</v>
      </c>
      <c r="L230" s="37"/>
    </row>
    <row r="231" customFormat="false" ht="15" hidden="false" customHeight="false" outlineLevel="0" collapsed="false">
      <c r="B231" s="63"/>
      <c r="C231" s="55" t="s">
        <v>24</v>
      </c>
      <c r="D231" s="56"/>
      <c r="E231" s="56"/>
      <c r="F231" s="56"/>
      <c r="G231" s="56"/>
      <c r="H231" s="56"/>
      <c r="I231" s="56"/>
      <c r="J231" s="56"/>
      <c r="K231" s="38" t="n">
        <f aca="false">SUMPRODUCT(LEN(D231:J231))</f>
        <v>0</v>
      </c>
      <c r="L231" s="37"/>
    </row>
    <row r="232" customFormat="false" ht="15" hidden="false" customHeight="false" outlineLevel="0" collapsed="false">
      <c r="B232" s="64" t="s">
        <v>53</v>
      </c>
      <c r="C232" s="55" t="s">
        <v>11</v>
      </c>
      <c r="D232" s="56"/>
      <c r="E232" s="56"/>
      <c r="F232" s="56"/>
      <c r="G232" s="56"/>
      <c r="H232" s="56"/>
      <c r="I232" s="56"/>
      <c r="J232" s="56"/>
      <c r="K232" s="38" t="n">
        <f aca="false">SUMPRODUCT(LEN(D232:J232))</f>
        <v>0</v>
      </c>
      <c r="L232" s="37" t="n">
        <f aca="false">SUM(K232:K234)</f>
        <v>1</v>
      </c>
    </row>
    <row r="233" customFormat="false" ht="15" hidden="false" customHeight="false" outlineLevel="0" collapsed="false">
      <c r="B233" s="64"/>
      <c r="C233" s="55" t="s">
        <v>19</v>
      </c>
      <c r="D233" s="56"/>
      <c r="E233" s="56"/>
      <c r="F233" s="56"/>
      <c r="G233" s="56" t="s">
        <v>149</v>
      </c>
      <c r="H233" s="56"/>
      <c r="I233" s="56"/>
      <c r="J233" s="56"/>
      <c r="K233" s="38" t="n">
        <f aca="false">SUMPRODUCT(LEN(D233:J233))</f>
        <v>1</v>
      </c>
      <c r="L233" s="37"/>
    </row>
    <row r="234" customFormat="false" ht="15" hidden="false" customHeight="false" outlineLevel="0" collapsed="false">
      <c r="B234" s="64"/>
      <c r="C234" s="55" t="s">
        <v>24</v>
      </c>
      <c r="D234" s="56"/>
      <c r="E234" s="56"/>
      <c r="F234" s="56"/>
      <c r="G234" s="56"/>
      <c r="H234" s="56"/>
      <c r="I234" s="56"/>
      <c r="J234" s="56"/>
      <c r="K234" s="38" t="n">
        <f aca="false">SUMPRODUCT(LEN(D234:J234))</f>
        <v>0</v>
      </c>
      <c r="L234" s="37"/>
    </row>
    <row r="235" customFormat="false" ht="15" hidden="false" customHeight="false" outlineLevel="0" collapsed="false">
      <c r="B235" s="65" t="s">
        <v>56</v>
      </c>
      <c r="C235" s="55" t="s">
        <v>11</v>
      </c>
      <c r="D235" s="56"/>
      <c r="E235" s="56"/>
      <c r="F235" s="56"/>
      <c r="G235" s="56"/>
      <c r="H235" s="56"/>
      <c r="I235" s="56"/>
      <c r="J235" s="56"/>
      <c r="K235" s="38" t="n">
        <f aca="false">SUMPRODUCT(LEN(D235:J235))</f>
        <v>0</v>
      </c>
      <c r="L235" s="37" t="n">
        <f aca="false">SUM(K235:K237)</f>
        <v>2</v>
      </c>
    </row>
    <row r="236" customFormat="false" ht="15" hidden="false" customHeight="false" outlineLevel="0" collapsed="false">
      <c r="B236" s="65"/>
      <c r="C236" s="55" t="s">
        <v>19</v>
      </c>
      <c r="D236" s="56"/>
      <c r="E236" s="56"/>
      <c r="F236" s="56"/>
      <c r="G236" s="56"/>
      <c r="H236" s="56"/>
      <c r="I236" s="56"/>
      <c r="J236" s="56"/>
      <c r="K236" s="38" t="n">
        <f aca="false">SUMPRODUCT(LEN(D236:J236))</f>
        <v>0</v>
      </c>
      <c r="L236" s="37"/>
    </row>
    <row r="237" customFormat="false" ht="15" hidden="false" customHeight="false" outlineLevel="0" collapsed="false">
      <c r="B237" s="65"/>
      <c r="C237" s="55" t="s">
        <v>24</v>
      </c>
      <c r="D237" s="56"/>
      <c r="E237" s="56" t="s">
        <v>149</v>
      </c>
      <c r="F237" s="56"/>
      <c r="G237" s="56"/>
      <c r="H237" s="56"/>
      <c r="I237" s="56" t="s">
        <v>149</v>
      </c>
      <c r="J237" s="56"/>
      <c r="K237" s="38" t="n">
        <f aca="false">SUMPRODUCT(LEN(D237:J237))</f>
        <v>2</v>
      </c>
      <c r="L237" s="37"/>
    </row>
    <row r="238" customFormat="false" ht="15" hidden="false" customHeight="false" outlineLevel="0" collapsed="false">
      <c r="B238" s="66" t="s">
        <v>59</v>
      </c>
      <c r="C238" s="55" t="s">
        <v>11</v>
      </c>
      <c r="D238" s="56"/>
      <c r="E238" s="56"/>
      <c r="F238" s="56"/>
      <c r="G238" s="56"/>
      <c r="H238" s="56"/>
      <c r="I238" s="56"/>
      <c r="J238" s="56"/>
      <c r="K238" s="38" t="n">
        <f aca="false">SUMPRODUCT(LEN(D238:J238))</f>
        <v>0</v>
      </c>
      <c r="L238" s="37" t="n">
        <f aca="false">SUM(K238:K240)</f>
        <v>7</v>
      </c>
    </row>
    <row r="239" customFormat="false" ht="15" hidden="false" customHeight="false" outlineLevel="0" collapsed="false">
      <c r="B239" s="66"/>
      <c r="C239" s="55" t="s">
        <v>19</v>
      </c>
      <c r="D239" s="56"/>
      <c r="E239" s="56"/>
      <c r="F239" s="56"/>
      <c r="G239" s="56"/>
      <c r="H239" s="56"/>
      <c r="I239" s="56"/>
      <c r="J239" s="56"/>
      <c r="K239" s="38" t="n">
        <f aca="false">SUMPRODUCT(LEN(D239:J239))</f>
        <v>0</v>
      </c>
      <c r="L239" s="37"/>
    </row>
    <row r="240" customFormat="false" ht="15" hidden="false" customHeight="false" outlineLevel="0" collapsed="false">
      <c r="B240" s="66"/>
      <c r="C240" s="55" t="s">
        <v>24</v>
      </c>
      <c r="D240" s="56" t="s">
        <v>149</v>
      </c>
      <c r="E240" s="56" t="s">
        <v>149</v>
      </c>
      <c r="F240" s="56" t="s">
        <v>149</v>
      </c>
      <c r="G240" s="56" t="s">
        <v>150</v>
      </c>
      <c r="H240" s="56" t="s">
        <v>149</v>
      </c>
      <c r="I240" s="56" t="s">
        <v>149</v>
      </c>
      <c r="J240" s="56"/>
      <c r="K240" s="38" t="n">
        <f aca="false">SUMPRODUCT(LEN(D240:J240))</f>
        <v>7</v>
      </c>
      <c r="L240" s="37"/>
    </row>
    <row r="241" customFormat="false" ht="15" hidden="false" customHeight="false" outlineLevel="0" collapsed="false">
      <c r="B241" s="67" t="s">
        <v>62</v>
      </c>
      <c r="C241" s="55" t="s">
        <v>11</v>
      </c>
      <c r="D241" s="56"/>
      <c r="E241" s="56"/>
      <c r="F241" s="56"/>
      <c r="G241" s="56"/>
      <c r="H241" s="56"/>
      <c r="I241" s="56"/>
      <c r="J241" s="56"/>
      <c r="K241" s="38" t="n">
        <f aca="false">SUMPRODUCT(LEN(D241:J241))</f>
        <v>0</v>
      </c>
      <c r="L241" s="37" t="n">
        <f aca="false">SUM(K241:K243)</f>
        <v>2</v>
      </c>
    </row>
    <row r="242" customFormat="false" ht="15" hidden="false" customHeight="false" outlineLevel="0" collapsed="false">
      <c r="B242" s="67"/>
      <c r="C242" s="55" t="s">
        <v>19</v>
      </c>
      <c r="D242" s="56"/>
      <c r="E242" s="56"/>
      <c r="F242" s="56"/>
      <c r="G242" s="56"/>
      <c r="H242" s="56"/>
      <c r="I242" s="56"/>
      <c r="J242" s="56"/>
      <c r="K242" s="38" t="n">
        <f aca="false">SUMPRODUCT(LEN(D242:J242))</f>
        <v>0</v>
      </c>
      <c r="L242" s="37"/>
    </row>
    <row r="243" customFormat="false" ht="15" hidden="false" customHeight="false" outlineLevel="0" collapsed="false">
      <c r="B243" s="67"/>
      <c r="C243" s="55" t="s">
        <v>24</v>
      </c>
      <c r="D243" s="56"/>
      <c r="E243" s="56"/>
      <c r="F243" s="56" t="s">
        <v>149</v>
      </c>
      <c r="G243" s="56"/>
      <c r="H243" s="56"/>
      <c r="I243" s="56"/>
      <c r="J243" s="56" t="s">
        <v>149</v>
      </c>
      <c r="K243" s="38" t="n">
        <f aca="false">SUMPRODUCT(LEN(D243:J243))</f>
        <v>2</v>
      </c>
      <c r="L243" s="37"/>
    </row>
    <row r="245" customFormat="false" ht="19.5" hidden="false" customHeight="true" outlineLevel="0" collapsed="false">
      <c r="B245" s="51" t="str">
        <f aca="false">"TABLEAU 7/12  -  PROGRAMME DE OCTOBRE 2027"&amp;IF($C$6="octobre 2027","          &lt;&lt;&lt; MOIS ACTUELLEMENT FILTRE","")</f>
        <v>TABLEAU 7/12  -  PROGRAMME DE OCTOBRE 2027</v>
      </c>
      <c r="C245" s="51"/>
      <c r="D245" s="51"/>
      <c r="E245" s="51"/>
      <c r="F245" s="51"/>
      <c r="G245" s="51"/>
      <c r="H245" s="51"/>
      <c r="I245" s="51"/>
      <c r="J245" s="51"/>
      <c r="L245" s="52" t="s">
        <v>143</v>
      </c>
    </row>
    <row r="246" customFormat="false" ht="25.5" hidden="false" customHeight="true" outlineLevel="0" collapsed="false">
      <c r="B246" s="53" t="s">
        <v>84</v>
      </c>
      <c r="C246" s="53" t="s">
        <v>144</v>
      </c>
      <c r="D246" s="53" t="s">
        <v>27</v>
      </c>
      <c r="E246" s="53" t="s">
        <v>28</v>
      </c>
      <c r="F246" s="53" t="s">
        <v>29</v>
      </c>
      <c r="G246" s="53" t="s">
        <v>30</v>
      </c>
      <c r="H246" s="53" t="s">
        <v>31</v>
      </c>
      <c r="I246" s="53" t="s">
        <v>32</v>
      </c>
      <c r="J246" s="53" t="s">
        <v>33</v>
      </c>
      <c r="K246" s="53" t="s">
        <v>145</v>
      </c>
      <c r="L246" s="53" t="s">
        <v>146</v>
      </c>
    </row>
    <row r="247" customFormat="false" ht="15" hidden="false" customHeight="false" outlineLevel="0" collapsed="false">
      <c r="B247" s="54" t="s">
        <v>12</v>
      </c>
      <c r="C247" s="55" t="s">
        <v>11</v>
      </c>
      <c r="D247" s="56" t="s">
        <v>147</v>
      </c>
      <c r="E247" s="56" t="s">
        <v>147</v>
      </c>
      <c r="F247" s="56" t="s">
        <v>147</v>
      </c>
      <c r="G247" s="56" t="s">
        <v>147</v>
      </c>
      <c r="H247" s="56" t="s">
        <v>147</v>
      </c>
      <c r="I247" s="56" t="s">
        <v>147</v>
      </c>
      <c r="J247" s="56" t="s">
        <v>147</v>
      </c>
      <c r="K247" s="38" t="n">
        <f aca="false">SUMPRODUCT(LEN(D247:J247))</f>
        <v>7</v>
      </c>
      <c r="L247" s="37" t="n">
        <f aca="false">SUM(K247:K249)</f>
        <v>11</v>
      </c>
    </row>
    <row r="248" customFormat="false" ht="15" hidden="false" customHeight="false" outlineLevel="0" collapsed="false">
      <c r="B248" s="54"/>
      <c r="C248" s="55" t="s">
        <v>19</v>
      </c>
      <c r="D248" s="56" t="s">
        <v>147</v>
      </c>
      <c r="E248" s="56"/>
      <c r="F248" s="56"/>
      <c r="G248" s="56"/>
      <c r="H248" s="56" t="s">
        <v>147</v>
      </c>
      <c r="I248" s="56"/>
      <c r="J248" s="56"/>
      <c r="K248" s="38" t="n">
        <f aca="false">SUMPRODUCT(LEN(D248:J248))</f>
        <v>2</v>
      </c>
      <c r="L248" s="37"/>
    </row>
    <row r="249" customFormat="false" ht="15" hidden="false" customHeight="false" outlineLevel="0" collapsed="false">
      <c r="B249" s="54"/>
      <c r="C249" s="55" t="s">
        <v>24</v>
      </c>
      <c r="D249" s="56" t="s">
        <v>148</v>
      </c>
      <c r="E249" s="56"/>
      <c r="F249" s="56"/>
      <c r="G249" s="56"/>
      <c r="H249" s="56"/>
      <c r="I249" s="56"/>
      <c r="J249" s="56"/>
      <c r="K249" s="38" t="n">
        <f aca="false">SUMPRODUCT(LEN(D249:J249))</f>
        <v>2</v>
      </c>
      <c r="L249" s="37"/>
    </row>
    <row r="250" customFormat="false" ht="15" hidden="false" customHeight="false" outlineLevel="0" collapsed="false">
      <c r="B250" s="57" t="s">
        <v>20</v>
      </c>
      <c r="C250" s="55" t="s">
        <v>11</v>
      </c>
      <c r="D250" s="56"/>
      <c r="E250" s="56"/>
      <c r="F250" s="56"/>
      <c r="G250" s="56"/>
      <c r="H250" s="56"/>
      <c r="I250" s="56"/>
      <c r="J250" s="56" t="s">
        <v>147</v>
      </c>
      <c r="K250" s="38" t="n">
        <f aca="false">SUMPRODUCT(LEN(D250:J250))</f>
        <v>1</v>
      </c>
      <c r="L250" s="37" t="n">
        <f aca="false">SUM(K250:K252)</f>
        <v>3</v>
      </c>
    </row>
    <row r="251" customFormat="false" ht="15" hidden="false" customHeight="false" outlineLevel="0" collapsed="false">
      <c r="B251" s="57"/>
      <c r="C251" s="55" t="s">
        <v>19</v>
      </c>
      <c r="D251" s="56"/>
      <c r="E251" s="56" t="s">
        <v>147</v>
      </c>
      <c r="F251" s="56"/>
      <c r="G251" s="56"/>
      <c r="H251" s="56" t="s">
        <v>147</v>
      </c>
      <c r="I251" s="56"/>
      <c r="J251" s="56"/>
      <c r="K251" s="38" t="n">
        <f aca="false">SUMPRODUCT(LEN(D251:J251))</f>
        <v>2</v>
      </c>
      <c r="L251" s="37"/>
    </row>
    <row r="252" customFormat="false" ht="15" hidden="false" customHeight="false" outlineLevel="0" collapsed="false">
      <c r="B252" s="57"/>
      <c r="C252" s="55" t="s">
        <v>24</v>
      </c>
      <c r="D252" s="56"/>
      <c r="E252" s="56"/>
      <c r="F252" s="56"/>
      <c r="G252" s="56"/>
      <c r="H252" s="56"/>
      <c r="I252" s="56"/>
      <c r="J252" s="56"/>
      <c r="K252" s="38" t="n">
        <f aca="false">SUMPRODUCT(LEN(D252:J252))</f>
        <v>0</v>
      </c>
      <c r="L252" s="37"/>
    </row>
    <row r="253" customFormat="false" ht="15" hidden="false" customHeight="false" outlineLevel="0" collapsed="false">
      <c r="B253" s="58" t="s">
        <v>25</v>
      </c>
      <c r="C253" s="55" t="s">
        <v>11</v>
      </c>
      <c r="D253" s="56"/>
      <c r="E253" s="56"/>
      <c r="F253" s="56"/>
      <c r="G253" s="56"/>
      <c r="H253" s="56"/>
      <c r="I253" s="56"/>
      <c r="J253" s="56"/>
      <c r="K253" s="38" t="n">
        <f aca="false">SUMPRODUCT(LEN(D253:J253))</f>
        <v>0</v>
      </c>
      <c r="L253" s="37" t="n">
        <f aca="false">SUM(K253:K255)</f>
        <v>2</v>
      </c>
    </row>
    <row r="254" customFormat="false" ht="15" hidden="false" customHeight="false" outlineLevel="0" collapsed="false">
      <c r="B254" s="58"/>
      <c r="C254" s="55" t="s">
        <v>19</v>
      </c>
      <c r="D254" s="56"/>
      <c r="E254" s="56"/>
      <c r="F254" s="56" t="s">
        <v>147</v>
      </c>
      <c r="G254" s="56"/>
      <c r="H254" s="56"/>
      <c r="I254" s="56" t="s">
        <v>147</v>
      </c>
      <c r="J254" s="56"/>
      <c r="K254" s="38" t="n">
        <f aca="false">SUMPRODUCT(LEN(D254:J254))</f>
        <v>2</v>
      </c>
      <c r="L254" s="37"/>
    </row>
    <row r="255" customFormat="false" ht="15" hidden="false" customHeight="false" outlineLevel="0" collapsed="false">
      <c r="B255" s="58"/>
      <c r="C255" s="55" t="s">
        <v>24</v>
      </c>
      <c r="D255" s="56"/>
      <c r="E255" s="56"/>
      <c r="F255" s="56"/>
      <c r="G255" s="56"/>
      <c r="H255" s="56"/>
      <c r="I255" s="56"/>
      <c r="J255" s="56"/>
      <c r="K255" s="38" t="n">
        <f aca="false">SUMPRODUCT(LEN(D255:J255))</f>
        <v>0</v>
      </c>
      <c r="L255" s="37"/>
    </row>
    <row r="256" customFormat="false" ht="15" hidden="false" customHeight="false" outlineLevel="0" collapsed="false">
      <c r="B256" s="59" t="s">
        <v>36</v>
      </c>
      <c r="C256" s="55" t="s">
        <v>11</v>
      </c>
      <c r="D256" s="56"/>
      <c r="E256" s="56"/>
      <c r="F256" s="56"/>
      <c r="G256" s="56"/>
      <c r="H256" s="56"/>
      <c r="I256" s="56"/>
      <c r="J256" s="56"/>
      <c r="K256" s="38" t="n">
        <f aca="false">SUMPRODUCT(LEN(D256:J256))</f>
        <v>0</v>
      </c>
      <c r="L256" s="37" t="n">
        <f aca="false">SUM(K256:K258)</f>
        <v>6</v>
      </c>
    </row>
    <row r="257" customFormat="false" ht="15" hidden="false" customHeight="false" outlineLevel="0" collapsed="false">
      <c r="B257" s="59"/>
      <c r="C257" s="55" t="s">
        <v>19</v>
      </c>
      <c r="D257" s="56"/>
      <c r="E257" s="56"/>
      <c r="F257" s="56" t="s">
        <v>149</v>
      </c>
      <c r="G257" s="56"/>
      <c r="H257" s="56"/>
      <c r="I257" s="56"/>
      <c r="J257" s="56"/>
      <c r="K257" s="38" t="n">
        <f aca="false">SUMPRODUCT(LEN(D257:J257))</f>
        <v>1</v>
      </c>
      <c r="L257" s="37"/>
    </row>
    <row r="258" customFormat="false" ht="15" hidden="false" customHeight="false" outlineLevel="0" collapsed="false">
      <c r="B258" s="59"/>
      <c r="C258" s="55" t="s">
        <v>24</v>
      </c>
      <c r="D258" s="56" t="s">
        <v>149</v>
      </c>
      <c r="E258" s="56" t="s">
        <v>149</v>
      </c>
      <c r="F258" s="56" t="s">
        <v>149</v>
      </c>
      <c r="G258" s="56" t="s">
        <v>149</v>
      </c>
      <c r="H258" s="56" t="s">
        <v>149</v>
      </c>
      <c r="I258" s="56"/>
      <c r="J258" s="56"/>
      <c r="K258" s="38" t="n">
        <f aca="false">SUMPRODUCT(LEN(D258:J258))</f>
        <v>5</v>
      </c>
      <c r="L258" s="37"/>
    </row>
    <row r="259" customFormat="false" ht="15" hidden="false" customHeight="false" outlineLevel="0" collapsed="false">
      <c r="B259" s="60" t="s">
        <v>40</v>
      </c>
      <c r="C259" s="55" t="s">
        <v>11</v>
      </c>
      <c r="D259" s="56"/>
      <c r="E259" s="56"/>
      <c r="F259" s="56"/>
      <c r="G259" s="56"/>
      <c r="H259" s="56"/>
      <c r="I259" s="56"/>
      <c r="J259" s="56"/>
      <c r="K259" s="38" t="n">
        <f aca="false">SUMPRODUCT(LEN(D259:J259))</f>
        <v>0</v>
      </c>
      <c r="L259" s="37" t="n">
        <f aca="false">SUM(K259:K261)</f>
        <v>4</v>
      </c>
    </row>
    <row r="260" customFormat="false" ht="15" hidden="false" customHeight="false" outlineLevel="0" collapsed="false">
      <c r="B260" s="60"/>
      <c r="C260" s="55" t="s">
        <v>19</v>
      </c>
      <c r="D260" s="56"/>
      <c r="E260" s="56"/>
      <c r="F260" s="56"/>
      <c r="G260" s="56"/>
      <c r="H260" s="56"/>
      <c r="I260" s="56"/>
      <c r="J260" s="56"/>
      <c r="K260" s="38" t="n">
        <f aca="false">SUMPRODUCT(LEN(D260:J260))</f>
        <v>0</v>
      </c>
      <c r="L260" s="37"/>
    </row>
    <row r="261" customFormat="false" ht="15" hidden="false" customHeight="false" outlineLevel="0" collapsed="false">
      <c r="B261" s="60"/>
      <c r="C261" s="55" t="s">
        <v>24</v>
      </c>
      <c r="D261" s="56" t="s">
        <v>149</v>
      </c>
      <c r="E261" s="56"/>
      <c r="F261" s="56" t="s">
        <v>149</v>
      </c>
      <c r="G261" s="56"/>
      <c r="H261" s="56" t="s">
        <v>149</v>
      </c>
      <c r="I261" s="56"/>
      <c r="J261" s="56" t="s">
        <v>149</v>
      </c>
      <c r="K261" s="38" t="n">
        <f aca="false">SUMPRODUCT(LEN(D261:J261))</f>
        <v>4</v>
      </c>
      <c r="L261" s="37"/>
    </row>
    <row r="262" customFormat="false" ht="15" hidden="false" customHeight="false" outlineLevel="0" collapsed="false">
      <c r="B262" s="61" t="s">
        <v>14</v>
      </c>
      <c r="C262" s="55" t="s">
        <v>11</v>
      </c>
      <c r="D262" s="56"/>
      <c r="E262" s="56"/>
      <c r="F262" s="56"/>
      <c r="G262" s="56"/>
      <c r="H262" s="56"/>
      <c r="I262" s="56"/>
      <c r="J262" s="56"/>
      <c r="K262" s="38" t="n">
        <f aca="false">SUMPRODUCT(LEN(D262:J262))</f>
        <v>0</v>
      </c>
      <c r="L262" s="37" t="n">
        <f aca="false">SUM(K262:K264)</f>
        <v>3</v>
      </c>
    </row>
    <row r="263" customFormat="false" ht="15" hidden="false" customHeight="false" outlineLevel="0" collapsed="false">
      <c r="B263" s="61"/>
      <c r="C263" s="55" t="s">
        <v>19</v>
      </c>
      <c r="D263" s="56"/>
      <c r="E263" s="56"/>
      <c r="F263" s="56"/>
      <c r="G263" s="56"/>
      <c r="H263" s="56"/>
      <c r="I263" s="56"/>
      <c r="J263" s="56"/>
      <c r="K263" s="38" t="n">
        <f aca="false">SUMPRODUCT(LEN(D263:J263))</f>
        <v>0</v>
      </c>
      <c r="L263" s="37"/>
    </row>
    <row r="264" customFormat="false" ht="15" hidden="false" customHeight="false" outlineLevel="0" collapsed="false">
      <c r="B264" s="61"/>
      <c r="C264" s="55" t="s">
        <v>24</v>
      </c>
      <c r="D264" s="56" t="s">
        <v>149</v>
      </c>
      <c r="E264" s="56"/>
      <c r="F264" s="56"/>
      <c r="G264" s="56" t="s">
        <v>149</v>
      </c>
      <c r="H264" s="56"/>
      <c r="I264" s="56" t="s">
        <v>149</v>
      </c>
      <c r="J264" s="56"/>
      <c r="K264" s="38" t="n">
        <f aca="false">SUMPRODUCT(LEN(D264:J264))</f>
        <v>3</v>
      </c>
      <c r="L264" s="37"/>
    </row>
    <row r="265" customFormat="false" ht="15" hidden="false" customHeight="false" outlineLevel="0" collapsed="false">
      <c r="B265" s="62" t="s">
        <v>46</v>
      </c>
      <c r="C265" s="55" t="s">
        <v>11</v>
      </c>
      <c r="D265" s="56"/>
      <c r="E265" s="56"/>
      <c r="F265" s="56"/>
      <c r="G265" s="56"/>
      <c r="H265" s="56"/>
      <c r="I265" s="56"/>
      <c r="J265" s="56"/>
      <c r="K265" s="38" t="n">
        <f aca="false">SUMPRODUCT(LEN(D265:J265))</f>
        <v>0</v>
      </c>
      <c r="L265" s="37" t="n">
        <f aca="false">SUM(K265:K267)</f>
        <v>3</v>
      </c>
    </row>
    <row r="266" customFormat="false" ht="15" hidden="false" customHeight="false" outlineLevel="0" collapsed="false">
      <c r="B266" s="62"/>
      <c r="C266" s="55" t="s">
        <v>19</v>
      </c>
      <c r="D266" s="56"/>
      <c r="E266" s="56"/>
      <c r="F266" s="56"/>
      <c r="G266" s="56"/>
      <c r="H266" s="56"/>
      <c r="I266" s="56"/>
      <c r="J266" s="56"/>
      <c r="K266" s="38" t="n">
        <f aca="false">SUMPRODUCT(LEN(D266:J266))</f>
        <v>0</v>
      </c>
      <c r="L266" s="37"/>
    </row>
    <row r="267" customFormat="false" ht="15" hidden="false" customHeight="false" outlineLevel="0" collapsed="false">
      <c r="B267" s="62"/>
      <c r="C267" s="55" t="s">
        <v>24</v>
      </c>
      <c r="D267" s="56"/>
      <c r="E267" s="56" t="s">
        <v>149</v>
      </c>
      <c r="F267" s="56"/>
      <c r="G267" s="56" t="s">
        <v>149</v>
      </c>
      <c r="H267" s="56"/>
      <c r="I267" s="56" t="s">
        <v>149</v>
      </c>
      <c r="J267" s="56"/>
      <c r="K267" s="38" t="n">
        <f aca="false">SUMPRODUCT(LEN(D267:J267))</f>
        <v>3</v>
      </c>
      <c r="L267" s="37"/>
    </row>
    <row r="268" customFormat="false" ht="15" hidden="false" customHeight="false" outlineLevel="0" collapsed="false">
      <c r="B268" s="63" t="s">
        <v>49</v>
      </c>
      <c r="C268" s="55" t="s">
        <v>11</v>
      </c>
      <c r="D268" s="56"/>
      <c r="E268" s="56"/>
      <c r="F268" s="56"/>
      <c r="G268" s="56"/>
      <c r="H268" s="56"/>
      <c r="I268" s="56"/>
      <c r="J268" s="56"/>
      <c r="K268" s="38" t="n">
        <f aca="false">SUMPRODUCT(LEN(D268:J268))</f>
        <v>0</v>
      </c>
      <c r="L268" s="37" t="n">
        <f aca="false">SUM(K268:K270)</f>
        <v>2</v>
      </c>
    </row>
    <row r="269" customFormat="false" ht="15" hidden="false" customHeight="false" outlineLevel="0" collapsed="false">
      <c r="B269" s="63"/>
      <c r="C269" s="55" t="s">
        <v>19</v>
      </c>
      <c r="D269" s="56" t="s">
        <v>149</v>
      </c>
      <c r="E269" s="56"/>
      <c r="F269" s="56"/>
      <c r="G269" s="56"/>
      <c r="H269" s="56" t="s">
        <v>149</v>
      </c>
      <c r="I269" s="56"/>
      <c r="J269" s="56"/>
      <c r="K269" s="38" t="n">
        <f aca="false">SUMPRODUCT(LEN(D269:J269))</f>
        <v>2</v>
      </c>
      <c r="L269" s="37"/>
    </row>
    <row r="270" customFormat="false" ht="15" hidden="false" customHeight="false" outlineLevel="0" collapsed="false">
      <c r="B270" s="63"/>
      <c r="C270" s="55" t="s">
        <v>24</v>
      </c>
      <c r="D270" s="56"/>
      <c r="E270" s="56"/>
      <c r="F270" s="56"/>
      <c r="G270" s="56"/>
      <c r="H270" s="56"/>
      <c r="I270" s="56"/>
      <c r="J270" s="56"/>
      <c r="K270" s="38" t="n">
        <f aca="false">SUMPRODUCT(LEN(D270:J270))</f>
        <v>0</v>
      </c>
      <c r="L270" s="37"/>
    </row>
    <row r="271" customFormat="false" ht="15" hidden="false" customHeight="false" outlineLevel="0" collapsed="false">
      <c r="B271" s="64" t="s">
        <v>53</v>
      </c>
      <c r="C271" s="55" t="s">
        <v>11</v>
      </c>
      <c r="D271" s="56"/>
      <c r="E271" s="56"/>
      <c r="F271" s="56"/>
      <c r="G271" s="56"/>
      <c r="H271" s="56"/>
      <c r="I271" s="56"/>
      <c r="J271" s="56"/>
      <c r="K271" s="38" t="n">
        <f aca="false">SUMPRODUCT(LEN(D271:J271))</f>
        <v>0</v>
      </c>
      <c r="L271" s="37" t="n">
        <f aca="false">SUM(K271:K273)</f>
        <v>1</v>
      </c>
    </row>
    <row r="272" customFormat="false" ht="15" hidden="false" customHeight="false" outlineLevel="0" collapsed="false">
      <c r="B272" s="64"/>
      <c r="C272" s="55" t="s">
        <v>19</v>
      </c>
      <c r="D272" s="56"/>
      <c r="E272" s="56"/>
      <c r="F272" s="56"/>
      <c r="G272" s="56" t="s">
        <v>149</v>
      </c>
      <c r="H272" s="56"/>
      <c r="I272" s="56"/>
      <c r="J272" s="56"/>
      <c r="K272" s="38" t="n">
        <f aca="false">SUMPRODUCT(LEN(D272:J272))</f>
        <v>1</v>
      </c>
      <c r="L272" s="37"/>
    </row>
    <row r="273" customFormat="false" ht="15" hidden="false" customHeight="false" outlineLevel="0" collapsed="false">
      <c r="B273" s="64"/>
      <c r="C273" s="55" t="s">
        <v>24</v>
      </c>
      <c r="D273" s="56"/>
      <c r="E273" s="56"/>
      <c r="F273" s="56"/>
      <c r="G273" s="56"/>
      <c r="H273" s="56"/>
      <c r="I273" s="56"/>
      <c r="J273" s="56"/>
      <c r="K273" s="38" t="n">
        <f aca="false">SUMPRODUCT(LEN(D273:J273))</f>
        <v>0</v>
      </c>
      <c r="L273" s="37"/>
    </row>
    <row r="274" customFormat="false" ht="15" hidden="false" customHeight="false" outlineLevel="0" collapsed="false">
      <c r="B274" s="65" t="s">
        <v>56</v>
      </c>
      <c r="C274" s="55" t="s">
        <v>11</v>
      </c>
      <c r="D274" s="56"/>
      <c r="E274" s="56"/>
      <c r="F274" s="56"/>
      <c r="G274" s="56"/>
      <c r="H274" s="56"/>
      <c r="I274" s="56"/>
      <c r="J274" s="56"/>
      <c r="K274" s="38" t="n">
        <f aca="false">SUMPRODUCT(LEN(D274:J274))</f>
        <v>0</v>
      </c>
      <c r="L274" s="37" t="n">
        <f aca="false">SUM(K274:K276)</f>
        <v>2</v>
      </c>
    </row>
    <row r="275" customFormat="false" ht="15" hidden="false" customHeight="false" outlineLevel="0" collapsed="false">
      <c r="B275" s="65"/>
      <c r="C275" s="55" t="s">
        <v>19</v>
      </c>
      <c r="D275" s="56"/>
      <c r="E275" s="56"/>
      <c r="F275" s="56"/>
      <c r="G275" s="56"/>
      <c r="H275" s="56"/>
      <c r="I275" s="56"/>
      <c r="J275" s="56"/>
      <c r="K275" s="38" t="n">
        <f aca="false">SUMPRODUCT(LEN(D275:J275))</f>
        <v>0</v>
      </c>
      <c r="L275" s="37"/>
    </row>
    <row r="276" customFormat="false" ht="15" hidden="false" customHeight="false" outlineLevel="0" collapsed="false">
      <c r="B276" s="65"/>
      <c r="C276" s="55" t="s">
        <v>24</v>
      </c>
      <c r="D276" s="56"/>
      <c r="E276" s="56" t="s">
        <v>149</v>
      </c>
      <c r="F276" s="56"/>
      <c r="G276" s="56"/>
      <c r="H276" s="56"/>
      <c r="I276" s="56" t="s">
        <v>149</v>
      </c>
      <c r="J276" s="56"/>
      <c r="K276" s="38" t="n">
        <f aca="false">SUMPRODUCT(LEN(D276:J276))</f>
        <v>2</v>
      </c>
      <c r="L276" s="37"/>
    </row>
    <row r="277" customFormat="false" ht="15" hidden="false" customHeight="false" outlineLevel="0" collapsed="false">
      <c r="B277" s="66" t="s">
        <v>59</v>
      </c>
      <c r="C277" s="55" t="s">
        <v>11</v>
      </c>
      <c r="D277" s="56"/>
      <c r="E277" s="56"/>
      <c r="F277" s="56"/>
      <c r="G277" s="56"/>
      <c r="H277" s="56"/>
      <c r="I277" s="56"/>
      <c r="J277" s="56"/>
      <c r="K277" s="38" t="n">
        <f aca="false">SUMPRODUCT(LEN(D277:J277))</f>
        <v>0</v>
      </c>
      <c r="L277" s="37" t="n">
        <f aca="false">SUM(K277:K279)</f>
        <v>7</v>
      </c>
    </row>
    <row r="278" customFormat="false" ht="15" hidden="false" customHeight="false" outlineLevel="0" collapsed="false">
      <c r="B278" s="66"/>
      <c r="C278" s="55" t="s">
        <v>19</v>
      </c>
      <c r="D278" s="56"/>
      <c r="E278" s="56"/>
      <c r="F278" s="56"/>
      <c r="G278" s="56"/>
      <c r="H278" s="56"/>
      <c r="I278" s="56"/>
      <c r="J278" s="56"/>
      <c r="K278" s="38" t="n">
        <f aca="false">SUMPRODUCT(LEN(D278:J278))</f>
        <v>0</v>
      </c>
      <c r="L278" s="37"/>
    </row>
    <row r="279" customFormat="false" ht="15" hidden="false" customHeight="false" outlineLevel="0" collapsed="false">
      <c r="B279" s="66"/>
      <c r="C279" s="55" t="s">
        <v>24</v>
      </c>
      <c r="D279" s="56" t="s">
        <v>149</v>
      </c>
      <c r="E279" s="56" t="s">
        <v>149</v>
      </c>
      <c r="F279" s="56" t="s">
        <v>149</v>
      </c>
      <c r="G279" s="56" t="s">
        <v>150</v>
      </c>
      <c r="H279" s="56" t="s">
        <v>149</v>
      </c>
      <c r="I279" s="56" t="s">
        <v>149</v>
      </c>
      <c r="J279" s="56"/>
      <c r="K279" s="38" t="n">
        <f aca="false">SUMPRODUCT(LEN(D279:J279))</f>
        <v>7</v>
      </c>
      <c r="L279" s="37"/>
    </row>
    <row r="280" customFormat="false" ht="15" hidden="false" customHeight="false" outlineLevel="0" collapsed="false">
      <c r="B280" s="67" t="s">
        <v>62</v>
      </c>
      <c r="C280" s="55" t="s">
        <v>11</v>
      </c>
      <c r="D280" s="56"/>
      <c r="E280" s="56"/>
      <c r="F280" s="56"/>
      <c r="G280" s="56"/>
      <c r="H280" s="56"/>
      <c r="I280" s="56"/>
      <c r="J280" s="56"/>
      <c r="K280" s="38" t="n">
        <f aca="false">SUMPRODUCT(LEN(D280:J280))</f>
        <v>0</v>
      </c>
      <c r="L280" s="37" t="n">
        <f aca="false">SUM(K280:K282)</f>
        <v>2</v>
      </c>
    </row>
    <row r="281" customFormat="false" ht="15" hidden="false" customHeight="false" outlineLevel="0" collapsed="false">
      <c r="B281" s="67"/>
      <c r="C281" s="55" t="s">
        <v>19</v>
      </c>
      <c r="D281" s="56"/>
      <c r="E281" s="56"/>
      <c r="F281" s="56"/>
      <c r="G281" s="56"/>
      <c r="H281" s="56"/>
      <c r="I281" s="56"/>
      <c r="J281" s="56"/>
      <c r="K281" s="38" t="n">
        <f aca="false">SUMPRODUCT(LEN(D281:J281))</f>
        <v>0</v>
      </c>
      <c r="L281" s="37"/>
    </row>
    <row r="282" customFormat="false" ht="15" hidden="false" customHeight="false" outlineLevel="0" collapsed="false">
      <c r="B282" s="67"/>
      <c r="C282" s="55" t="s">
        <v>24</v>
      </c>
      <c r="D282" s="56"/>
      <c r="E282" s="56"/>
      <c r="F282" s="56" t="s">
        <v>149</v>
      </c>
      <c r="G282" s="56"/>
      <c r="H282" s="56"/>
      <c r="I282" s="56"/>
      <c r="J282" s="56" t="s">
        <v>149</v>
      </c>
      <c r="K282" s="38" t="n">
        <f aca="false">SUMPRODUCT(LEN(D282:J282))</f>
        <v>2</v>
      </c>
      <c r="L282" s="37"/>
    </row>
    <row r="284" customFormat="false" ht="19.5" hidden="false" customHeight="true" outlineLevel="0" collapsed="false">
      <c r="B284" s="51" t="str">
        <f aca="false">"TABLEAU 8/12  -  PROGRAMME DE NOVEMBRE 2027"&amp;IF($C$6="novembre 2027","          &lt;&lt;&lt; MOIS ACTUELLEMENT FILTRE","")</f>
        <v>TABLEAU 8/12  -  PROGRAMME DE NOVEMBRE 2027</v>
      </c>
      <c r="C284" s="51"/>
      <c r="D284" s="51"/>
      <c r="E284" s="51"/>
      <c r="F284" s="51"/>
      <c r="G284" s="51"/>
      <c r="H284" s="51"/>
      <c r="I284" s="51"/>
      <c r="J284" s="51"/>
      <c r="L284" s="52" t="s">
        <v>143</v>
      </c>
    </row>
    <row r="285" customFormat="false" ht="25.5" hidden="false" customHeight="true" outlineLevel="0" collapsed="false">
      <c r="B285" s="53" t="s">
        <v>84</v>
      </c>
      <c r="C285" s="53" t="s">
        <v>144</v>
      </c>
      <c r="D285" s="53" t="s">
        <v>27</v>
      </c>
      <c r="E285" s="53" t="s">
        <v>28</v>
      </c>
      <c r="F285" s="53" t="s">
        <v>29</v>
      </c>
      <c r="G285" s="53" t="s">
        <v>30</v>
      </c>
      <c r="H285" s="53" t="s">
        <v>31</v>
      </c>
      <c r="I285" s="53" t="s">
        <v>32</v>
      </c>
      <c r="J285" s="53" t="s">
        <v>33</v>
      </c>
      <c r="K285" s="53" t="s">
        <v>145</v>
      </c>
      <c r="L285" s="53" t="s">
        <v>146</v>
      </c>
    </row>
    <row r="286" customFormat="false" ht="15" hidden="false" customHeight="false" outlineLevel="0" collapsed="false">
      <c r="B286" s="54" t="s">
        <v>12</v>
      </c>
      <c r="C286" s="55" t="s">
        <v>11</v>
      </c>
      <c r="D286" s="56" t="s">
        <v>147</v>
      </c>
      <c r="E286" s="56" t="s">
        <v>147</v>
      </c>
      <c r="F286" s="56" t="s">
        <v>147</v>
      </c>
      <c r="G286" s="56" t="s">
        <v>147</v>
      </c>
      <c r="H286" s="56" t="s">
        <v>147</v>
      </c>
      <c r="I286" s="56" t="s">
        <v>147</v>
      </c>
      <c r="J286" s="56" t="s">
        <v>147</v>
      </c>
      <c r="K286" s="38" t="n">
        <f aca="false">SUMPRODUCT(LEN(D286:J286))</f>
        <v>7</v>
      </c>
      <c r="L286" s="37" t="n">
        <f aca="false">SUM(K286:K288)</f>
        <v>11</v>
      </c>
    </row>
    <row r="287" customFormat="false" ht="15" hidden="false" customHeight="false" outlineLevel="0" collapsed="false">
      <c r="B287" s="54"/>
      <c r="C287" s="55" t="s">
        <v>19</v>
      </c>
      <c r="D287" s="56" t="s">
        <v>147</v>
      </c>
      <c r="E287" s="56"/>
      <c r="F287" s="56"/>
      <c r="G287" s="56"/>
      <c r="H287" s="56" t="s">
        <v>147</v>
      </c>
      <c r="I287" s="56"/>
      <c r="J287" s="56"/>
      <c r="K287" s="38" t="n">
        <f aca="false">SUMPRODUCT(LEN(D287:J287))</f>
        <v>2</v>
      </c>
      <c r="L287" s="37"/>
    </row>
    <row r="288" customFormat="false" ht="15" hidden="false" customHeight="false" outlineLevel="0" collapsed="false">
      <c r="B288" s="54"/>
      <c r="C288" s="55" t="s">
        <v>24</v>
      </c>
      <c r="D288" s="56" t="s">
        <v>148</v>
      </c>
      <c r="E288" s="56"/>
      <c r="F288" s="56"/>
      <c r="G288" s="56"/>
      <c r="H288" s="56"/>
      <c r="I288" s="56"/>
      <c r="J288" s="56"/>
      <c r="K288" s="38" t="n">
        <f aca="false">SUMPRODUCT(LEN(D288:J288))</f>
        <v>2</v>
      </c>
      <c r="L288" s="37"/>
    </row>
    <row r="289" customFormat="false" ht="15" hidden="false" customHeight="false" outlineLevel="0" collapsed="false">
      <c r="B289" s="57" t="s">
        <v>20</v>
      </c>
      <c r="C289" s="55" t="s">
        <v>11</v>
      </c>
      <c r="D289" s="56"/>
      <c r="E289" s="56"/>
      <c r="F289" s="56"/>
      <c r="G289" s="56"/>
      <c r="H289" s="56"/>
      <c r="I289" s="56"/>
      <c r="J289" s="56" t="s">
        <v>147</v>
      </c>
      <c r="K289" s="38" t="n">
        <f aca="false">SUMPRODUCT(LEN(D289:J289))</f>
        <v>1</v>
      </c>
      <c r="L289" s="37" t="n">
        <f aca="false">SUM(K289:K291)</f>
        <v>3</v>
      </c>
    </row>
    <row r="290" customFormat="false" ht="15" hidden="false" customHeight="false" outlineLevel="0" collapsed="false">
      <c r="B290" s="57"/>
      <c r="C290" s="55" t="s">
        <v>19</v>
      </c>
      <c r="D290" s="56"/>
      <c r="E290" s="56" t="s">
        <v>147</v>
      </c>
      <c r="F290" s="56"/>
      <c r="G290" s="56"/>
      <c r="H290" s="56" t="s">
        <v>147</v>
      </c>
      <c r="I290" s="56"/>
      <c r="J290" s="56"/>
      <c r="K290" s="38" t="n">
        <f aca="false">SUMPRODUCT(LEN(D290:J290))</f>
        <v>2</v>
      </c>
      <c r="L290" s="37"/>
    </row>
    <row r="291" customFormat="false" ht="15" hidden="false" customHeight="false" outlineLevel="0" collapsed="false">
      <c r="B291" s="57"/>
      <c r="C291" s="55" t="s">
        <v>24</v>
      </c>
      <c r="D291" s="56"/>
      <c r="E291" s="56"/>
      <c r="F291" s="56"/>
      <c r="G291" s="56"/>
      <c r="H291" s="56"/>
      <c r="I291" s="56"/>
      <c r="J291" s="56"/>
      <c r="K291" s="38" t="n">
        <f aca="false">SUMPRODUCT(LEN(D291:J291))</f>
        <v>0</v>
      </c>
      <c r="L291" s="37"/>
    </row>
    <row r="292" customFormat="false" ht="15" hidden="false" customHeight="false" outlineLevel="0" collapsed="false">
      <c r="B292" s="58" t="s">
        <v>25</v>
      </c>
      <c r="C292" s="55" t="s">
        <v>11</v>
      </c>
      <c r="D292" s="56"/>
      <c r="E292" s="56"/>
      <c r="F292" s="56"/>
      <c r="G292" s="56"/>
      <c r="H292" s="56"/>
      <c r="I292" s="56"/>
      <c r="J292" s="56"/>
      <c r="K292" s="38" t="n">
        <f aca="false">SUMPRODUCT(LEN(D292:J292))</f>
        <v>0</v>
      </c>
      <c r="L292" s="37" t="n">
        <f aca="false">SUM(K292:K294)</f>
        <v>2</v>
      </c>
    </row>
    <row r="293" customFormat="false" ht="15" hidden="false" customHeight="false" outlineLevel="0" collapsed="false">
      <c r="B293" s="58"/>
      <c r="C293" s="55" t="s">
        <v>19</v>
      </c>
      <c r="D293" s="56"/>
      <c r="E293" s="56"/>
      <c r="F293" s="56" t="s">
        <v>147</v>
      </c>
      <c r="G293" s="56"/>
      <c r="H293" s="56"/>
      <c r="I293" s="56" t="s">
        <v>147</v>
      </c>
      <c r="J293" s="56"/>
      <c r="K293" s="38" t="n">
        <f aca="false">SUMPRODUCT(LEN(D293:J293))</f>
        <v>2</v>
      </c>
      <c r="L293" s="37"/>
    </row>
    <row r="294" customFormat="false" ht="15" hidden="false" customHeight="false" outlineLevel="0" collapsed="false">
      <c r="B294" s="58"/>
      <c r="C294" s="55" t="s">
        <v>24</v>
      </c>
      <c r="D294" s="56"/>
      <c r="E294" s="56"/>
      <c r="F294" s="56"/>
      <c r="G294" s="56"/>
      <c r="H294" s="56"/>
      <c r="I294" s="56"/>
      <c r="J294" s="56"/>
      <c r="K294" s="38" t="n">
        <f aca="false">SUMPRODUCT(LEN(D294:J294))</f>
        <v>0</v>
      </c>
      <c r="L294" s="37"/>
    </row>
    <row r="295" customFormat="false" ht="15" hidden="false" customHeight="false" outlineLevel="0" collapsed="false">
      <c r="B295" s="59" t="s">
        <v>36</v>
      </c>
      <c r="C295" s="55" t="s">
        <v>11</v>
      </c>
      <c r="D295" s="56"/>
      <c r="E295" s="56"/>
      <c r="F295" s="56"/>
      <c r="G295" s="56"/>
      <c r="H295" s="56"/>
      <c r="I295" s="56"/>
      <c r="J295" s="56"/>
      <c r="K295" s="38" t="n">
        <f aca="false">SUMPRODUCT(LEN(D295:J295))</f>
        <v>0</v>
      </c>
      <c r="L295" s="37" t="n">
        <f aca="false">SUM(K295:K297)</f>
        <v>6</v>
      </c>
    </row>
    <row r="296" customFormat="false" ht="15" hidden="false" customHeight="false" outlineLevel="0" collapsed="false">
      <c r="B296" s="59"/>
      <c r="C296" s="55" t="s">
        <v>19</v>
      </c>
      <c r="D296" s="56"/>
      <c r="E296" s="56"/>
      <c r="F296" s="56" t="s">
        <v>149</v>
      </c>
      <c r="G296" s="56"/>
      <c r="H296" s="56"/>
      <c r="I296" s="56"/>
      <c r="J296" s="56"/>
      <c r="K296" s="38" t="n">
        <f aca="false">SUMPRODUCT(LEN(D296:J296))</f>
        <v>1</v>
      </c>
      <c r="L296" s="37"/>
    </row>
    <row r="297" customFormat="false" ht="15" hidden="false" customHeight="false" outlineLevel="0" collapsed="false">
      <c r="B297" s="59"/>
      <c r="C297" s="55" t="s">
        <v>24</v>
      </c>
      <c r="D297" s="56" t="s">
        <v>149</v>
      </c>
      <c r="E297" s="56" t="s">
        <v>149</v>
      </c>
      <c r="F297" s="56" t="s">
        <v>149</v>
      </c>
      <c r="G297" s="56" t="s">
        <v>149</v>
      </c>
      <c r="H297" s="56" t="s">
        <v>149</v>
      </c>
      <c r="I297" s="56"/>
      <c r="J297" s="56"/>
      <c r="K297" s="38" t="n">
        <f aca="false">SUMPRODUCT(LEN(D297:J297))</f>
        <v>5</v>
      </c>
      <c r="L297" s="37"/>
    </row>
    <row r="298" customFormat="false" ht="15" hidden="false" customHeight="false" outlineLevel="0" collapsed="false">
      <c r="B298" s="60" t="s">
        <v>40</v>
      </c>
      <c r="C298" s="55" t="s">
        <v>11</v>
      </c>
      <c r="D298" s="56"/>
      <c r="E298" s="56"/>
      <c r="F298" s="56"/>
      <c r="G298" s="56"/>
      <c r="H298" s="56"/>
      <c r="I298" s="56"/>
      <c r="J298" s="56"/>
      <c r="K298" s="38" t="n">
        <f aca="false">SUMPRODUCT(LEN(D298:J298))</f>
        <v>0</v>
      </c>
      <c r="L298" s="37" t="n">
        <f aca="false">SUM(K298:K300)</f>
        <v>4</v>
      </c>
    </row>
    <row r="299" customFormat="false" ht="15" hidden="false" customHeight="false" outlineLevel="0" collapsed="false">
      <c r="B299" s="60"/>
      <c r="C299" s="55" t="s">
        <v>19</v>
      </c>
      <c r="D299" s="56"/>
      <c r="E299" s="56"/>
      <c r="F299" s="56"/>
      <c r="G299" s="56"/>
      <c r="H299" s="56"/>
      <c r="I299" s="56"/>
      <c r="J299" s="56"/>
      <c r="K299" s="38" t="n">
        <f aca="false">SUMPRODUCT(LEN(D299:J299))</f>
        <v>0</v>
      </c>
      <c r="L299" s="37"/>
    </row>
    <row r="300" customFormat="false" ht="15" hidden="false" customHeight="false" outlineLevel="0" collapsed="false">
      <c r="B300" s="60"/>
      <c r="C300" s="55" t="s">
        <v>24</v>
      </c>
      <c r="D300" s="56" t="s">
        <v>149</v>
      </c>
      <c r="E300" s="56"/>
      <c r="F300" s="56" t="s">
        <v>149</v>
      </c>
      <c r="G300" s="56"/>
      <c r="H300" s="56" t="s">
        <v>149</v>
      </c>
      <c r="I300" s="56"/>
      <c r="J300" s="56" t="s">
        <v>149</v>
      </c>
      <c r="K300" s="38" t="n">
        <f aca="false">SUMPRODUCT(LEN(D300:J300))</f>
        <v>4</v>
      </c>
      <c r="L300" s="37"/>
    </row>
    <row r="301" customFormat="false" ht="15" hidden="false" customHeight="false" outlineLevel="0" collapsed="false">
      <c r="B301" s="61" t="s">
        <v>14</v>
      </c>
      <c r="C301" s="55" t="s">
        <v>11</v>
      </c>
      <c r="D301" s="56"/>
      <c r="E301" s="56"/>
      <c r="F301" s="56"/>
      <c r="G301" s="56"/>
      <c r="H301" s="56"/>
      <c r="I301" s="56"/>
      <c r="J301" s="56"/>
      <c r="K301" s="38" t="n">
        <f aca="false">SUMPRODUCT(LEN(D301:J301))</f>
        <v>0</v>
      </c>
      <c r="L301" s="37" t="n">
        <f aca="false">SUM(K301:K303)</f>
        <v>3</v>
      </c>
    </row>
    <row r="302" customFormat="false" ht="15" hidden="false" customHeight="false" outlineLevel="0" collapsed="false">
      <c r="B302" s="61"/>
      <c r="C302" s="55" t="s">
        <v>19</v>
      </c>
      <c r="D302" s="56"/>
      <c r="E302" s="56"/>
      <c r="F302" s="56"/>
      <c r="G302" s="56"/>
      <c r="H302" s="56"/>
      <c r="I302" s="56"/>
      <c r="J302" s="56"/>
      <c r="K302" s="38" t="n">
        <f aca="false">SUMPRODUCT(LEN(D302:J302))</f>
        <v>0</v>
      </c>
      <c r="L302" s="37"/>
    </row>
    <row r="303" customFormat="false" ht="15" hidden="false" customHeight="false" outlineLevel="0" collapsed="false">
      <c r="B303" s="61"/>
      <c r="C303" s="55" t="s">
        <v>24</v>
      </c>
      <c r="D303" s="56" t="s">
        <v>149</v>
      </c>
      <c r="E303" s="56"/>
      <c r="F303" s="56"/>
      <c r="G303" s="56" t="s">
        <v>149</v>
      </c>
      <c r="H303" s="56"/>
      <c r="I303" s="56" t="s">
        <v>149</v>
      </c>
      <c r="J303" s="56"/>
      <c r="K303" s="38" t="n">
        <f aca="false">SUMPRODUCT(LEN(D303:J303))</f>
        <v>3</v>
      </c>
      <c r="L303" s="37"/>
    </row>
    <row r="304" customFormat="false" ht="15" hidden="false" customHeight="false" outlineLevel="0" collapsed="false">
      <c r="B304" s="62" t="s">
        <v>46</v>
      </c>
      <c r="C304" s="55" t="s">
        <v>11</v>
      </c>
      <c r="D304" s="56"/>
      <c r="E304" s="56"/>
      <c r="F304" s="56"/>
      <c r="G304" s="56"/>
      <c r="H304" s="56"/>
      <c r="I304" s="56"/>
      <c r="J304" s="56"/>
      <c r="K304" s="38" t="n">
        <f aca="false">SUMPRODUCT(LEN(D304:J304))</f>
        <v>0</v>
      </c>
      <c r="L304" s="37" t="n">
        <f aca="false">SUM(K304:K306)</f>
        <v>3</v>
      </c>
    </row>
    <row r="305" customFormat="false" ht="15" hidden="false" customHeight="false" outlineLevel="0" collapsed="false">
      <c r="B305" s="62"/>
      <c r="C305" s="55" t="s">
        <v>19</v>
      </c>
      <c r="D305" s="56"/>
      <c r="E305" s="56"/>
      <c r="F305" s="56"/>
      <c r="G305" s="56"/>
      <c r="H305" s="56"/>
      <c r="I305" s="56"/>
      <c r="J305" s="56"/>
      <c r="K305" s="38" t="n">
        <f aca="false">SUMPRODUCT(LEN(D305:J305))</f>
        <v>0</v>
      </c>
      <c r="L305" s="37"/>
    </row>
    <row r="306" customFormat="false" ht="15" hidden="false" customHeight="false" outlineLevel="0" collapsed="false">
      <c r="B306" s="62"/>
      <c r="C306" s="55" t="s">
        <v>24</v>
      </c>
      <c r="D306" s="56"/>
      <c r="E306" s="56" t="s">
        <v>149</v>
      </c>
      <c r="F306" s="56"/>
      <c r="G306" s="56" t="s">
        <v>149</v>
      </c>
      <c r="H306" s="56"/>
      <c r="I306" s="56" t="s">
        <v>149</v>
      </c>
      <c r="J306" s="56"/>
      <c r="K306" s="38" t="n">
        <f aca="false">SUMPRODUCT(LEN(D306:J306))</f>
        <v>3</v>
      </c>
      <c r="L306" s="37"/>
    </row>
    <row r="307" customFormat="false" ht="15" hidden="false" customHeight="false" outlineLevel="0" collapsed="false">
      <c r="B307" s="63" t="s">
        <v>49</v>
      </c>
      <c r="C307" s="55" t="s">
        <v>11</v>
      </c>
      <c r="D307" s="56"/>
      <c r="E307" s="56"/>
      <c r="F307" s="56"/>
      <c r="G307" s="56"/>
      <c r="H307" s="56"/>
      <c r="I307" s="56"/>
      <c r="J307" s="56"/>
      <c r="K307" s="38" t="n">
        <f aca="false">SUMPRODUCT(LEN(D307:J307))</f>
        <v>0</v>
      </c>
      <c r="L307" s="37" t="n">
        <f aca="false">SUM(K307:K309)</f>
        <v>2</v>
      </c>
    </row>
    <row r="308" customFormat="false" ht="15" hidden="false" customHeight="false" outlineLevel="0" collapsed="false">
      <c r="B308" s="63"/>
      <c r="C308" s="55" t="s">
        <v>19</v>
      </c>
      <c r="D308" s="56" t="s">
        <v>149</v>
      </c>
      <c r="E308" s="56"/>
      <c r="F308" s="56"/>
      <c r="G308" s="56"/>
      <c r="H308" s="56" t="s">
        <v>149</v>
      </c>
      <c r="I308" s="56"/>
      <c r="J308" s="56"/>
      <c r="K308" s="38" t="n">
        <f aca="false">SUMPRODUCT(LEN(D308:J308))</f>
        <v>2</v>
      </c>
      <c r="L308" s="37"/>
    </row>
    <row r="309" customFormat="false" ht="15" hidden="false" customHeight="false" outlineLevel="0" collapsed="false">
      <c r="B309" s="63"/>
      <c r="C309" s="55" t="s">
        <v>24</v>
      </c>
      <c r="D309" s="56"/>
      <c r="E309" s="56"/>
      <c r="F309" s="56"/>
      <c r="G309" s="56"/>
      <c r="H309" s="56"/>
      <c r="I309" s="56"/>
      <c r="J309" s="56"/>
      <c r="K309" s="38" t="n">
        <f aca="false">SUMPRODUCT(LEN(D309:J309))</f>
        <v>0</v>
      </c>
      <c r="L309" s="37"/>
    </row>
    <row r="310" customFormat="false" ht="15" hidden="false" customHeight="false" outlineLevel="0" collapsed="false">
      <c r="B310" s="64" t="s">
        <v>53</v>
      </c>
      <c r="C310" s="55" t="s">
        <v>11</v>
      </c>
      <c r="D310" s="56"/>
      <c r="E310" s="56"/>
      <c r="F310" s="56"/>
      <c r="G310" s="56"/>
      <c r="H310" s="56"/>
      <c r="I310" s="56"/>
      <c r="J310" s="56"/>
      <c r="K310" s="38" t="n">
        <f aca="false">SUMPRODUCT(LEN(D310:J310))</f>
        <v>0</v>
      </c>
      <c r="L310" s="37" t="n">
        <f aca="false">SUM(K310:K312)</f>
        <v>1</v>
      </c>
    </row>
    <row r="311" customFormat="false" ht="15" hidden="false" customHeight="false" outlineLevel="0" collapsed="false">
      <c r="B311" s="64"/>
      <c r="C311" s="55" t="s">
        <v>19</v>
      </c>
      <c r="D311" s="56"/>
      <c r="E311" s="56"/>
      <c r="F311" s="56"/>
      <c r="G311" s="56" t="s">
        <v>149</v>
      </c>
      <c r="H311" s="56"/>
      <c r="I311" s="56"/>
      <c r="J311" s="56"/>
      <c r="K311" s="38" t="n">
        <f aca="false">SUMPRODUCT(LEN(D311:J311))</f>
        <v>1</v>
      </c>
      <c r="L311" s="37"/>
    </row>
    <row r="312" customFormat="false" ht="15" hidden="false" customHeight="false" outlineLevel="0" collapsed="false">
      <c r="B312" s="64"/>
      <c r="C312" s="55" t="s">
        <v>24</v>
      </c>
      <c r="D312" s="56"/>
      <c r="E312" s="56"/>
      <c r="F312" s="56"/>
      <c r="G312" s="56"/>
      <c r="H312" s="56"/>
      <c r="I312" s="56"/>
      <c r="J312" s="56"/>
      <c r="K312" s="38" t="n">
        <f aca="false">SUMPRODUCT(LEN(D312:J312))</f>
        <v>0</v>
      </c>
      <c r="L312" s="37"/>
    </row>
    <row r="313" customFormat="false" ht="15" hidden="false" customHeight="false" outlineLevel="0" collapsed="false">
      <c r="B313" s="65" t="s">
        <v>56</v>
      </c>
      <c r="C313" s="55" t="s">
        <v>11</v>
      </c>
      <c r="D313" s="56"/>
      <c r="E313" s="56"/>
      <c r="F313" s="56"/>
      <c r="G313" s="56"/>
      <c r="H313" s="56"/>
      <c r="I313" s="56"/>
      <c r="J313" s="56"/>
      <c r="K313" s="38" t="n">
        <f aca="false">SUMPRODUCT(LEN(D313:J313))</f>
        <v>0</v>
      </c>
      <c r="L313" s="37" t="n">
        <f aca="false">SUM(K313:K315)</f>
        <v>2</v>
      </c>
    </row>
    <row r="314" customFormat="false" ht="15" hidden="false" customHeight="false" outlineLevel="0" collapsed="false">
      <c r="B314" s="65"/>
      <c r="C314" s="55" t="s">
        <v>19</v>
      </c>
      <c r="D314" s="56"/>
      <c r="E314" s="56"/>
      <c r="F314" s="56"/>
      <c r="G314" s="56"/>
      <c r="H314" s="56"/>
      <c r="I314" s="56"/>
      <c r="J314" s="56"/>
      <c r="K314" s="38" t="n">
        <f aca="false">SUMPRODUCT(LEN(D314:J314))</f>
        <v>0</v>
      </c>
      <c r="L314" s="37"/>
    </row>
    <row r="315" customFormat="false" ht="15" hidden="false" customHeight="false" outlineLevel="0" collapsed="false">
      <c r="B315" s="65"/>
      <c r="C315" s="55" t="s">
        <v>24</v>
      </c>
      <c r="D315" s="56"/>
      <c r="E315" s="56" t="s">
        <v>149</v>
      </c>
      <c r="F315" s="56"/>
      <c r="G315" s="56"/>
      <c r="H315" s="56"/>
      <c r="I315" s="56" t="s">
        <v>149</v>
      </c>
      <c r="J315" s="56"/>
      <c r="K315" s="38" t="n">
        <f aca="false">SUMPRODUCT(LEN(D315:J315))</f>
        <v>2</v>
      </c>
      <c r="L315" s="37"/>
    </row>
    <row r="316" customFormat="false" ht="15" hidden="false" customHeight="false" outlineLevel="0" collapsed="false">
      <c r="B316" s="66" t="s">
        <v>59</v>
      </c>
      <c r="C316" s="55" t="s">
        <v>11</v>
      </c>
      <c r="D316" s="56"/>
      <c r="E316" s="56"/>
      <c r="F316" s="56"/>
      <c r="G316" s="56"/>
      <c r="H316" s="56"/>
      <c r="I316" s="56"/>
      <c r="J316" s="56"/>
      <c r="K316" s="38" t="n">
        <f aca="false">SUMPRODUCT(LEN(D316:J316))</f>
        <v>0</v>
      </c>
      <c r="L316" s="37" t="n">
        <f aca="false">SUM(K316:K318)</f>
        <v>7</v>
      </c>
    </row>
    <row r="317" customFormat="false" ht="15" hidden="false" customHeight="false" outlineLevel="0" collapsed="false">
      <c r="B317" s="66"/>
      <c r="C317" s="55" t="s">
        <v>19</v>
      </c>
      <c r="D317" s="56"/>
      <c r="E317" s="56"/>
      <c r="F317" s="56"/>
      <c r="G317" s="56"/>
      <c r="H317" s="56"/>
      <c r="I317" s="56"/>
      <c r="J317" s="56"/>
      <c r="K317" s="38" t="n">
        <f aca="false">SUMPRODUCT(LEN(D317:J317))</f>
        <v>0</v>
      </c>
      <c r="L317" s="37"/>
    </row>
    <row r="318" customFormat="false" ht="15" hidden="false" customHeight="false" outlineLevel="0" collapsed="false">
      <c r="B318" s="66"/>
      <c r="C318" s="55" t="s">
        <v>24</v>
      </c>
      <c r="D318" s="56" t="s">
        <v>149</v>
      </c>
      <c r="E318" s="56" t="s">
        <v>149</v>
      </c>
      <c r="F318" s="56" t="s">
        <v>149</v>
      </c>
      <c r="G318" s="56" t="s">
        <v>150</v>
      </c>
      <c r="H318" s="56" t="s">
        <v>149</v>
      </c>
      <c r="I318" s="56" t="s">
        <v>149</v>
      </c>
      <c r="J318" s="56"/>
      <c r="K318" s="38" t="n">
        <f aca="false">SUMPRODUCT(LEN(D318:J318))</f>
        <v>7</v>
      </c>
      <c r="L318" s="37"/>
    </row>
    <row r="319" customFormat="false" ht="15" hidden="false" customHeight="false" outlineLevel="0" collapsed="false">
      <c r="B319" s="67" t="s">
        <v>62</v>
      </c>
      <c r="C319" s="55" t="s">
        <v>11</v>
      </c>
      <c r="D319" s="56"/>
      <c r="E319" s="56"/>
      <c r="F319" s="56"/>
      <c r="G319" s="56"/>
      <c r="H319" s="56"/>
      <c r="I319" s="56"/>
      <c r="J319" s="56"/>
      <c r="K319" s="38" t="n">
        <f aca="false">SUMPRODUCT(LEN(D319:J319))</f>
        <v>0</v>
      </c>
      <c r="L319" s="37" t="n">
        <f aca="false">SUM(K319:K321)</f>
        <v>2</v>
      </c>
    </row>
    <row r="320" customFormat="false" ht="15" hidden="false" customHeight="false" outlineLevel="0" collapsed="false">
      <c r="B320" s="67"/>
      <c r="C320" s="55" t="s">
        <v>19</v>
      </c>
      <c r="D320" s="56"/>
      <c r="E320" s="56"/>
      <c r="F320" s="56"/>
      <c r="G320" s="56"/>
      <c r="H320" s="56"/>
      <c r="I320" s="56"/>
      <c r="J320" s="56"/>
      <c r="K320" s="38" t="n">
        <f aca="false">SUMPRODUCT(LEN(D320:J320))</f>
        <v>0</v>
      </c>
      <c r="L320" s="37"/>
    </row>
    <row r="321" customFormat="false" ht="15" hidden="false" customHeight="false" outlineLevel="0" collapsed="false">
      <c r="B321" s="67"/>
      <c r="C321" s="55" t="s">
        <v>24</v>
      </c>
      <c r="D321" s="56"/>
      <c r="E321" s="56"/>
      <c r="F321" s="56" t="s">
        <v>149</v>
      </c>
      <c r="G321" s="56"/>
      <c r="H321" s="56"/>
      <c r="I321" s="56"/>
      <c r="J321" s="56" t="s">
        <v>149</v>
      </c>
      <c r="K321" s="38" t="n">
        <f aca="false">SUMPRODUCT(LEN(D321:J321))</f>
        <v>2</v>
      </c>
      <c r="L321" s="37"/>
    </row>
    <row r="323" customFormat="false" ht="19.5" hidden="false" customHeight="true" outlineLevel="0" collapsed="false">
      <c r="B323" s="51" t="str">
        <f aca="false">"TABLEAU 9/12  -  PROGRAMME DE DECEMBRE 2027"&amp;IF($C$6="decembre 2027","          &lt;&lt;&lt; MOIS ACTUELLEMENT FILTRE","")</f>
        <v>TABLEAU 9/12  -  PROGRAMME DE DECEMBRE 2027</v>
      </c>
      <c r="C323" s="51"/>
      <c r="D323" s="51"/>
      <c r="E323" s="51"/>
      <c r="F323" s="51"/>
      <c r="G323" s="51"/>
      <c r="H323" s="51"/>
      <c r="I323" s="51"/>
      <c r="J323" s="51"/>
      <c r="L323" s="52" t="s">
        <v>143</v>
      </c>
    </row>
    <row r="324" customFormat="false" ht="25.5" hidden="false" customHeight="true" outlineLevel="0" collapsed="false">
      <c r="B324" s="53" t="s">
        <v>84</v>
      </c>
      <c r="C324" s="53" t="s">
        <v>144</v>
      </c>
      <c r="D324" s="53" t="s">
        <v>27</v>
      </c>
      <c r="E324" s="53" t="s">
        <v>28</v>
      </c>
      <c r="F324" s="53" t="s">
        <v>29</v>
      </c>
      <c r="G324" s="53" t="s">
        <v>30</v>
      </c>
      <c r="H324" s="53" t="s">
        <v>31</v>
      </c>
      <c r="I324" s="53" t="s">
        <v>32</v>
      </c>
      <c r="J324" s="53" t="s">
        <v>33</v>
      </c>
      <c r="K324" s="53" t="s">
        <v>145</v>
      </c>
      <c r="L324" s="53" t="s">
        <v>146</v>
      </c>
    </row>
    <row r="325" customFormat="false" ht="15" hidden="false" customHeight="false" outlineLevel="0" collapsed="false">
      <c r="B325" s="54" t="s">
        <v>12</v>
      </c>
      <c r="C325" s="55" t="s">
        <v>11</v>
      </c>
      <c r="D325" s="56" t="s">
        <v>147</v>
      </c>
      <c r="E325" s="56" t="s">
        <v>147</v>
      </c>
      <c r="F325" s="56" t="s">
        <v>147</v>
      </c>
      <c r="G325" s="56" t="s">
        <v>147</v>
      </c>
      <c r="H325" s="56" t="s">
        <v>147</v>
      </c>
      <c r="I325" s="56" t="s">
        <v>147</v>
      </c>
      <c r="J325" s="56" t="s">
        <v>147</v>
      </c>
      <c r="K325" s="38" t="n">
        <f aca="false">SUMPRODUCT(LEN(D325:J325))</f>
        <v>7</v>
      </c>
      <c r="L325" s="37" t="n">
        <f aca="false">SUM(K325:K327)</f>
        <v>11</v>
      </c>
    </row>
    <row r="326" customFormat="false" ht="15" hidden="false" customHeight="false" outlineLevel="0" collapsed="false">
      <c r="B326" s="54"/>
      <c r="C326" s="55" t="s">
        <v>19</v>
      </c>
      <c r="D326" s="56" t="s">
        <v>147</v>
      </c>
      <c r="E326" s="56"/>
      <c r="F326" s="56"/>
      <c r="G326" s="56"/>
      <c r="H326" s="56" t="s">
        <v>147</v>
      </c>
      <c r="I326" s="56"/>
      <c r="J326" s="56"/>
      <c r="K326" s="38" t="n">
        <f aca="false">SUMPRODUCT(LEN(D326:J326))</f>
        <v>2</v>
      </c>
      <c r="L326" s="37"/>
    </row>
    <row r="327" customFormat="false" ht="15" hidden="false" customHeight="false" outlineLevel="0" collapsed="false">
      <c r="B327" s="54"/>
      <c r="C327" s="55" t="s">
        <v>24</v>
      </c>
      <c r="D327" s="56" t="s">
        <v>148</v>
      </c>
      <c r="E327" s="56"/>
      <c r="F327" s="56"/>
      <c r="G327" s="56"/>
      <c r="H327" s="56"/>
      <c r="I327" s="56"/>
      <c r="J327" s="56"/>
      <c r="K327" s="38" t="n">
        <f aca="false">SUMPRODUCT(LEN(D327:J327))</f>
        <v>2</v>
      </c>
      <c r="L327" s="37"/>
    </row>
    <row r="328" customFormat="false" ht="15" hidden="false" customHeight="false" outlineLevel="0" collapsed="false">
      <c r="B328" s="57" t="s">
        <v>20</v>
      </c>
      <c r="C328" s="55" t="s">
        <v>11</v>
      </c>
      <c r="D328" s="56"/>
      <c r="E328" s="56"/>
      <c r="F328" s="56"/>
      <c r="G328" s="56"/>
      <c r="H328" s="56"/>
      <c r="I328" s="56"/>
      <c r="J328" s="56" t="s">
        <v>147</v>
      </c>
      <c r="K328" s="38" t="n">
        <f aca="false">SUMPRODUCT(LEN(D328:J328))</f>
        <v>1</v>
      </c>
      <c r="L328" s="37" t="n">
        <f aca="false">SUM(K328:K330)</f>
        <v>3</v>
      </c>
    </row>
    <row r="329" customFormat="false" ht="15" hidden="false" customHeight="false" outlineLevel="0" collapsed="false">
      <c r="B329" s="57"/>
      <c r="C329" s="55" t="s">
        <v>19</v>
      </c>
      <c r="D329" s="56"/>
      <c r="E329" s="56" t="s">
        <v>147</v>
      </c>
      <c r="F329" s="56"/>
      <c r="G329" s="56"/>
      <c r="H329" s="56" t="s">
        <v>147</v>
      </c>
      <c r="I329" s="56"/>
      <c r="J329" s="56"/>
      <c r="K329" s="38" t="n">
        <f aca="false">SUMPRODUCT(LEN(D329:J329))</f>
        <v>2</v>
      </c>
      <c r="L329" s="37"/>
    </row>
    <row r="330" customFormat="false" ht="15" hidden="false" customHeight="false" outlineLevel="0" collapsed="false">
      <c r="B330" s="57"/>
      <c r="C330" s="55" t="s">
        <v>24</v>
      </c>
      <c r="D330" s="56"/>
      <c r="E330" s="56"/>
      <c r="F330" s="56"/>
      <c r="G330" s="56"/>
      <c r="H330" s="56"/>
      <c r="I330" s="56"/>
      <c r="J330" s="56"/>
      <c r="K330" s="38" t="n">
        <f aca="false">SUMPRODUCT(LEN(D330:J330))</f>
        <v>0</v>
      </c>
      <c r="L330" s="37"/>
    </row>
    <row r="331" customFormat="false" ht="15" hidden="false" customHeight="false" outlineLevel="0" collapsed="false">
      <c r="B331" s="58" t="s">
        <v>25</v>
      </c>
      <c r="C331" s="55" t="s">
        <v>11</v>
      </c>
      <c r="D331" s="56"/>
      <c r="E331" s="56"/>
      <c r="F331" s="56"/>
      <c r="G331" s="56"/>
      <c r="H331" s="56"/>
      <c r="I331" s="56"/>
      <c r="J331" s="56"/>
      <c r="K331" s="38" t="n">
        <f aca="false">SUMPRODUCT(LEN(D331:J331))</f>
        <v>0</v>
      </c>
      <c r="L331" s="37" t="n">
        <f aca="false">SUM(K331:K333)</f>
        <v>2</v>
      </c>
    </row>
    <row r="332" customFormat="false" ht="15" hidden="false" customHeight="false" outlineLevel="0" collapsed="false">
      <c r="B332" s="58"/>
      <c r="C332" s="55" t="s">
        <v>19</v>
      </c>
      <c r="D332" s="56"/>
      <c r="E332" s="56"/>
      <c r="F332" s="56" t="s">
        <v>147</v>
      </c>
      <c r="G332" s="56"/>
      <c r="H332" s="56"/>
      <c r="I332" s="56" t="s">
        <v>147</v>
      </c>
      <c r="J332" s="56"/>
      <c r="K332" s="38" t="n">
        <f aca="false">SUMPRODUCT(LEN(D332:J332))</f>
        <v>2</v>
      </c>
      <c r="L332" s="37"/>
    </row>
    <row r="333" customFormat="false" ht="15" hidden="false" customHeight="false" outlineLevel="0" collapsed="false">
      <c r="B333" s="58"/>
      <c r="C333" s="55" t="s">
        <v>24</v>
      </c>
      <c r="D333" s="56"/>
      <c r="E333" s="56"/>
      <c r="F333" s="56"/>
      <c r="G333" s="56"/>
      <c r="H333" s="56"/>
      <c r="I333" s="56"/>
      <c r="J333" s="56"/>
      <c r="K333" s="38" t="n">
        <f aca="false">SUMPRODUCT(LEN(D333:J333))</f>
        <v>0</v>
      </c>
      <c r="L333" s="37"/>
    </row>
    <row r="334" customFormat="false" ht="15" hidden="false" customHeight="false" outlineLevel="0" collapsed="false">
      <c r="B334" s="59" t="s">
        <v>36</v>
      </c>
      <c r="C334" s="55" t="s">
        <v>11</v>
      </c>
      <c r="D334" s="56"/>
      <c r="E334" s="56"/>
      <c r="F334" s="56"/>
      <c r="G334" s="56"/>
      <c r="H334" s="56"/>
      <c r="I334" s="56"/>
      <c r="J334" s="56"/>
      <c r="K334" s="38" t="n">
        <f aca="false">SUMPRODUCT(LEN(D334:J334))</f>
        <v>0</v>
      </c>
      <c r="L334" s="37" t="n">
        <f aca="false">SUM(K334:K336)</f>
        <v>6</v>
      </c>
    </row>
    <row r="335" customFormat="false" ht="15" hidden="false" customHeight="false" outlineLevel="0" collapsed="false">
      <c r="B335" s="59"/>
      <c r="C335" s="55" t="s">
        <v>19</v>
      </c>
      <c r="D335" s="56"/>
      <c r="E335" s="56"/>
      <c r="F335" s="56" t="s">
        <v>149</v>
      </c>
      <c r="G335" s="56"/>
      <c r="H335" s="56"/>
      <c r="I335" s="56"/>
      <c r="J335" s="56"/>
      <c r="K335" s="38" t="n">
        <f aca="false">SUMPRODUCT(LEN(D335:J335))</f>
        <v>1</v>
      </c>
      <c r="L335" s="37"/>
    </row>
    <row r="336" customFormat="false" ht="15" hidden="false" customHeight="false" outlineLevel="0" collapsed="false">
      <c r="B336" s="59"/>
      <c r="C336" s="55" t="s">
        <v>24</v>
      </c>
      <c r="D336" s="56" t="s">
        <v>149</v>
      </c>
      <c r="E336" s="56" t="s">
        <v>149</v>
      </c>
      <c r="F336" s="56" t="s">
        <v>149</v>
      </c>
      <c r="G336" s="56" t="s">
        <v>149</v>
      </c>
      <c r="H336" s="56" t="s">
        <v>149</v>
      </c>
      <c r="I336" s="56"/>
      <c r="J336" s="56"/>
      <c r="K336" s="38" t="n">
        <f aca="false">SUMPRODUCT(LEN(D336:J336))</f>
        <v>5</v>
      </c>
      <c r="L336" s="37"/>
    </row>
    <row r="337" customFormat="false" ht="15" hidden="false" customHeight="false" outlineLevel="0" collapsed="false">
      <c r="B337" s="60" t="s">
        <v>40</v>
      </c>
      <c r="C337" s="55" t="s">
        <v>11</v>
      </c>
      <c r="D337" s="56"/>
      <c r="E337" s="56"/>
      <c r="F337" s="56"/>
      <c r="G337" s="56"/>
      <c r="H337" s="56"/>
      <c r="I337" s="56"/>
      <c r="J337" s="56"/>
      <c r="K337" s="38" t="n">
        <f aca="false">SUMPRODUCT(LEN(D337:J337))</f>
        <v>0</v>
      </c>
      <c r="L337" s="37" t="n">
        <f aca="false">SUM(K337:K339)</f>
        <v>4</v>
      </c>
    </row>
    <row r="338" customFormat="false" ht="15" hidden="false" customHeight="false" outlineLevel="0" collapsed="false">
      <c r="B338" s="60"/>
      <c r="C338" s="55" t="s">
        <v>19</v>
      </c>
      <c r="D338" s="56"/>
      <c r="E338" s="56"/>
      <c r="F338" s="56"/>
      <c r="G338" s="56"/>
      <c r="H338" s="56"/>
      <c r="I338" s="56"/>
      <c r="J338" s="56"/>
      <c r="K338" s="38" t="n">
        <f aca="false">SUMPRODUCT(LEN(D338:J338))</f>
        <v>0</v>
      </c>
      <c r="L338" s="37"/>
    </row>
    <row r="339" customFormat="false" ht="15" hidden="false" customHeight="false" outlineLevel="0" collapsed="false">
      <c r="B339" s="60"/>
      <c r="C339" s="55" t="s">
        <v>24</v>
      </c>
      <c r="D339" s="56" t="s">
        <v>149</v>
      </c>
      <c r="E339" s="56"/>
      <c r="F339" s="56" t="s">
        <v>149</v>
      </c>
      <c r="G339" s="56"/>
      <c r="H339" s="56" t="s">
        <v>149</v>
      </c>
      <c r="I339" s="56"/>
      <c r="J339" s="56" t="s">
        <v>149</v>
      </c>
      <c r="K339" s="38" t="n">
        <f aca="false">SUMPRODUCT(LEN(D339:J339))</f>
        <v>4</v>
      </c>
      <c r="L339" s="37"/>
    </row>
    <row r="340" customFormat="false" ht="15" hidden="false" customHeight="false" outlineLevel="0" collapsed="false">
      <c r="B340" s="61" t="s">
        <v>14</v>
      </c>
      <c r="C340" s="55" t="s">
        <v>11</v>
      </c>
      <c r="D340" s="56"/>
      <c r="E340" s="56"/>
      <c r="F340" s="56"/>
      <c r="G340" s="56"/>
      <c r="H340" s="56"/>
      <c r="I340" s="56"/>
      <c r="J340" s="56"/>
      <c r="K340" s="38" t="n">
        <f aca="false">SUMPRODUCT(LEN(D340:J340))</f>
        <v>0</v>
      </c>
      <c r="L340" s="37" t="n">
        <f aca="false">SUM(K340:K342)</f>
        <v>5</v>
      </c>
    </row>
    <row r="341" customFormat="false" ht="15" hidden="false" customHeight="false" outlineLevel="0" collapsed="false">
      <c r="B341" s="61"/>
      <c r="C341" s="55" t="s">
        <v>19</v>
      </c>
      <c r="D341" s="56"/>
      <c r="E341" s="56"/>
      <c r="F341" s="56"/>
      <c r="G341" s="56"/>
      <c r="H341" s="56"/>
      <c r="I341" s="56"/>
      <c r="J341" s="56"/>
      <c r="K341" s="38" t="n">
        <f aca="false">SUMPRODUCT(LEN(D341:J341))</f>
        <v>0</v>
      </c>
      <c r="L341" s="37"/>
    </row>
    <row r="342" customFormat="false" ht="15" hidden="false" customHeight="false" outlineLevel="0" collapsed="false">
      <c r="B342" s="61"/>
      <c r="C342" s="55" t="s">
        <v>24</v>
      </c>
      <c r="D342" s="56" t="s">
        <v>149</v>
      </c>
      <c r="E342" s="56" t="s">
        <v>149</v>
      </c>
      <c r="F342" s="56"/>
      <c r="G342" s="56" t="s">
        <v>149</v>
      </c>
      <c r="H342" s="56"/>
      <c r="I342" s="56" t="s">
        <v>149</v>
      </c>
      <c r="J342" s="56" t="s">
        <v>149</v>
      </c>
      <c r="K342" s="38" t="n">
        <f aca="false">SUMPRODUCT(LEN(D342:J342))</f>
        <v>5</v>
      </c>
      <c r="L342" s="37"/>
    </row>
    <row r="343" customFormat="false" ht="15" hidden="false" customHeight="false" outlineLevel="0" collapsed="false">
      <c r="B343" s="62" t="s">
        <v>46</v>
      </c>
      <c r="C343" s="55" t="s">
        <v>11</v>
      </c>
      <c r="D343" s="56"/>
      <c r="E343" s="56"/>
      <c r="F343" s="56"/>
      <c r="G343" s="56"/>
      <c r="H343" s="56"/>
      <c r="I343" s="56"/>
      <c r="J343" s="56"/>
      <c r="K343" s="38" t="n">
        <f aca="false">SUMPRODUCT(LEN(D343:J343))</f>
        <v>0</v>
      </c>
      <c r="L343" s="37" t="n">
        <f aca="false">SUM(K343:K345)</f>
        <v>3</v>
      </c>
    </row>
    <row r="344" customFormat="false" ht="15" hidden="false" customHeight="false" outlineLevel="0" collapsed="false">
      <c r="B344" s="62"/>
      <c r="C344" s="55" t="s">
        <v>19</v>
      </c>
      <c r="D344" s="56"/>
      <c r="E344" s="56"/>
      <c r="F344" s="56"/>
      <c r="G344" s="56"/>
      <c r="H344" s="56"/>
      <c r="I344" s="56"/>
      <c r="J344" s="56"/>
      <c r="K344" s="38" t="n">
        <f aca="false">SUMPRODUCT(LEN(D344:J344))</f>
        <v>0</v>
      </c>
      <c r="L344" s="37"/>
    </row>
    <row r="345" customFormat="false" ht="15" hidden="false" customHeight="false" outlineLevel="0" collapsed="false">
      <c r="B345" s="62"/>
      <c r="C345" s="55" t="s">
        <v>24</v>
      </c>
      <c r="D345" s="56"/>
      <c r="E345" s="56" t="s">
        <v>149</v>
      </c>
      <c r="F345" s="56"/>
      <c r="G345" s="56" t="s">
        <v>149</v>
      </c>
      <c r="H345" s="56"/>
      <c r="I345" s="56" t="s">
        <v>149</v>
      </c>
      <c r="J345" s="56"/>
      <c r="K345" s="38" t="n">
        <f aca="false">SUMPRODUCT(LEN(D345:J345))</f>
        <v>3</v>
      </c>
      <c r="L345" s="37"/>
    </row>
    <row r="346" customFormat="false" ht="15" hidden="false" customHeight="false" outlineLevel="0" collapsed="false">
      <c r="B346" s="63" t="s">
        <v>49</v>
      </c>
      <c r="C346" s="55" t="s">
        <v>11</v>
      </c>
      <c r="D346" s="56"/>
      <c r="E346" s="56"/>
      <c r="F346" s="56"/>
      <c r="G346" s="56"/>
      <c r="H346" s="56"/>
      <c r="I346" s="56"/>
      <c r="J346" s="56"/>
      <c r="K346" s="38" t="n">
        <f aca="false">SUMPRODUCT(LEN(D346:J346))</f>
        <v>0</v>
      </c>
      <c r="L346" s="37" t="n">
        <f aca="false">SUM(K346:K348)</f>
        <v>2</v>
      </c>
    </row>
    <row r="347" customFormat="false" ht="15" hidden="false" customHeight="false" outlineLevel="0" collapsed="false">
      <c r="B347" s="63"/>
      <c r="C347" s="55" t="s">
        <v>19</v>
      </c>
      <c r="D347" s="56" t="s">
        <v>149</v>
      </c>
      <c r="E347" s="56"/>
      <c r="F347" s="56"/>
      <c r="G347" s="56"/>
      <c r="H347" s="56" t="s">
        <v>149</v>
      </c>
      <c r="I347" s="56"/>
      <c r="J347" s="56"/>
      <c r="K347" s="38" t="n">
        <f aca="false">SUMPRODUCT(LEN(D347:J347))</f>
        <v>2</v>
      </c>
      <c r="L347" s="37"/>
    </row>
    <row r="348" customFormat="false" ht="15" hidden="false" customHeight="false" outlineLevel="0" collapsed="false">
      <c r="B348" s="63"/>
      <c r="C348" s="55" t="s">
        <v>24</v>
      </c>
      <c r="D348" s="56"/>
      <c r="E348" s="56"/>
      <c r="F348" s="56"/>
      <c r="G348" s="56"/>
      <c r="H348" s="56"/>
      <c r="I348" s="56"/>
      <c r="J348" s="56"/>
      <c r="K348" s="38" t="n">
        <f aca="false">SUMPRODUCT(LEN(D348:J348))</f>
        <v>0</v>
      </c>
      <c r="L348" s="37"/>
    </row>
    <row r="349" customFormat="false" ht="15" hidden="false" customHeight="false" outlineLevel="0" collapsed="false">
      <c r="B349" s="64" t="s">
        <v>53</v>
      </c>
      <c r="C349" s="55" t="s">
        <v>11</v>
      </c>
      <c r="D349" s="56"/>
      <c r="E349" s="56"/>
      <c r="F349" s="56"/>
      <c r="G349" s="56"/>
      <c r="H349" s="56"/>
      <c r="I349" s="56"/>
      <c r="J349" s="56"/>
      <c r="K349" s="38" t="n">
        <f aca="false">SUMPRODUCT(LEN(D349:J349))</f>
        <v>0</v>
      </c>
      <c r="L349" s="37" t="n">
        <f aca="false">SUM(K349:K351)</f>
        <v>1</v>
      </c>
    </row>
    <row r="350" customFormat="false" ht="15" hidden="false" customHeight="false" outlineLevel="0" collapsed="false">
      <c r="B350" s="64"/>
      <c r="C350" s="55" t="s">
        <v>19</v>
      </c>
      <c r="D350" s="56"/>
      <c r="E350" s="56"/>
      <c r="F350" s="56"/>
      <c r="G350" s="56" t="s">
        <v>149</v>
      </c>
      <c r="H350" s="56"/>
      <c r="I350" s="56"/>
      <c r="J350" s="56"/>
      <c r="K350" s="38" t="n">
        <f aca="false">SUMPRODUCT(LEN(D350:J350))</f>
        <v>1</v>
      </c>
      <c r="L350" s="37"/>
    </row>
    <row r="351" customFormat="false" ht="15" hidden="false" customHeight="false" outlineLevel="0" collapsed="false">
      <c r="B351" s="64"/>
      <c r="C351" s="55" t="s">
        <v>24</v>
      </c>
      <c r="D351" s="56"/>
      <c r="E351" s="56"/>
      <c r="F351" s="56"/>
      <c r="G351" s="56"/>
      <c r="H351" s="56"/>
      <c r="I351" s="56"/>
      <c r="J351" s="56"/>
      <c r="K351" s="38" t="n">
        <f aca="false">SUMPRODUCT(LEN(D351:J351))</f>
        <v>0</v>
      </c>
      <c r="L351" s="37"/>
    </row>
    <row r="352" customFormat="false" ht="15" hidden="false" customHeight="false" outlineLevel="0" collapsed="false">
      <c r="B352" s="65" t="s">
        <v>56</v>
      </c>
      <c r="C352" s="55" t="s">
        <v>11</v>
      </c>
      <c r="D352" s="56"/>
      <c r="E352" s="56"/>
      <c r="F352" s="56"/>
      <c r="G352" s="56"/>
      <c r="H352" s="56"/>
      <c r="I352" s="56"/>
      <c r="J352" s="56"/>
      <c r="K352" s="38" t="n">
        <f aca="false">SUMPRODUCT(LEN(D352:J352))</f>
        <v>0</v>
      </c>
      <c r="L352" s="37" t="n">
        <f aca="false">SUM(K352:K354)</f>
        <v>2</v>
      </c>
    </row>
    <row r="353" customFormat="false" ht="15" hidden="false" customHeight="false" outlineLevel="0" collapsed="false">
      <c r="B353" s="65"/>
      <c r="C353" s="55" t="s">
        <v>19</v>
      </c>
      <c r="D353" s="56"/>
      <c r="E353" s="56"/>
      <c r="F353" s="56"/>
      <c r="G353" s="56"/>
      <c r="H353" s="56"/>
      <c r="I353" s="56"/>
      <c r="J353" s="56"/>
      <c r="K353" s="38" t="n">
        <f aca="false">SUMPRODUCT(LEN(D353:J353))</f>
        <v>0</v>
      </c>
      <c r="L353" s="37"/>
    </row>
    <row r="354" customFormat="false" ht="15" hidden="false" customHeight="false" outlineLevel="0" collapsed="false">
      <c r="B354" s="65"/>
      <c r="C354" s="55" t="s">
        <v>24</v>
      </c>
      <c r="D354" s="56"/>
      <c r="E354" s="56" t="s">
        <v>149</v>
      </c>
      <c r="F354" s="56"/>
      <c r="G354" s="56"/>
      <c r="H354" s="56"/>
      <c r="I354" s="56" t="s">
        <v>149</v>
      </c>
      <c r="J354" s="56"/>
      <c r="K354" s="38" t="n">
        <f aca="false">SUMPRODUCT(LEN(D354:J354))</f>
        <v>2</v>
      </c>
      <c r="L354" s="37"/>
    </row>
    <row r="355" customFormat="false" ht="15" hidden="false" customHeight="false" outlineLevel="0" collapsed="false">
      <c r="B355" s="66" t="s">
        <v>59</v>
      </c>
      <c r="C355" s="55" t="s">
        <v>11</v>
      </c>
      <c r="D355" s="56"/>
      <c r="E355" s="56"/>
      <c r="F355" s="56"/>
      <c r="G355" s="56"/>
      <c r="H355" s="56"/>
      <c r="I355" s="56"/>
      <c r="J355" s="56"/>
      <c r="K355" s="38" t="n">
        <f aca="false">SUMPRODUCT(LEN(D355:J355))</f>
        <v>0</v>
      </c>
      <c r="L355" s="37" t="n">
        <f aca="false">SUM(K355:K357)</f>
        <v>7</v>
      </c>
    </row>
    <row r="356" customFormat="false" ht="15" hidden="false" customHeight="false" outlineLevel="0" collapsed="false">
      <c r="B356" s="66"/>
      <c r="C356" s="55" t="s">
        <v>19</v>
      </c>
      <c r="D356" s="56"/>
      <c r="E356" s="56"/>
      <c r="F356" s="56"/>
      <c r="G356" s="56"/>
      <c r="H356" s="56"/>
      <c r="I356" s="56"/>
      <c r="J356" s="56"/>
      <c r="K356" s="38" t="n">
        <f aca="false">SUMPRODUCT(LEN(D356:J356))</f>
        <v>0</v>
      </c>
      <c r="L356" s="37"/>
    </row>
    <row r="357" customFormat="false" ht="15" hidden="false" customHeight="false" outlineLevel="0" collapsed="false">
      <c r="B357" s="66"/>
      <c r="C357" s="55" t="s">
        <v>24</v>
      </c>
      <c r="D357" s="56" t="s">
        <v>149</v>
      </c>
      <c r="E357" s="56" t="s">
        <v>149</v>
      </c>
      <c r="F357" s="56" t="s">
        <v>149</v>
      </c>
      <c r="G357" s="56" t="s">
        <v>150</v>
      </c>
      <c r="H357" s="56" t="s">
        <v>149</v>
      </c>
      <c r="I357" s="56" t="s">
        <v>149</v>
      </c>
      <c r="J357" s="56"/>
      <c r="K357" s="38" t="n">
        <f aca="false">SUMPRODUCT(LEN(D357:J357))</f>
        <v>7</v>
      </c>
      <c r="L357" s="37"/>
    </row>
    <row r="358" customFormat="false" ht="15" hidden="false" customHeight="false" outlineLevel="0" collapsed="false">
      <c r="B358" s="67" t="s">
        <v>62</v>
      </c>
      <c r="C358" s="55" t="s">
        <v>11</v>
      </c>
      <c r="D358" s="56"/>
      <c r="E358" s="56"/>
      <c r="F358" s="56"/>
      <c r="G358" s="56"/>
      <c r="H358" s="56"/>
      <c r="I358" s="56"/>
      <c r="J358" s="56"/>
      <c r="K358" s="38" t="n">
        <f aca="false">SUMPRODUCT(LEN(D358:J358))</f>
        <v>0</v>
      </c>
      <c r="L358" s="37" t="n">
        <f aca="false">SUM(K358:K360)</f>
        <v>2</v>
      </c>
    </row>
    <row r="359" customFormat="false" ht="15" hidden="false" customHeight="false" outlineLevel="0" collapsed="false">
      <c r="B359" s="67"/>
      <c r="C359" s="55" t="s">
        <v>19</v>
      </c>
      <c r="D359" s="56"/>
      <c r="E359" s="56"/>
      <c r="F359" s="56"/>
      <c r="G359" s="56"/>
      <c r="H359" s="56"/>
      <c r="I359" s="56"/>
      <c r="J359" s="56"/>
      <c r="K359" s="38" t="n">
        <f aca="false">SUMPRODUCT(LEN(D359:J359))</f>
        <v>0</v>
      </c>
      <c r="L359" s="37"/>
    </row>
    <row r="360" customFormat="false" ht="15" hidden="false" customHeight="false" outlineLevel="0" collapsed="false">
      <c r="B360" s="67"/>
      <c r="C360" s="55" t="s">
        <v>24</v>
      </c>
      <c r="D360" s="56"/>
      <c r="E360" s="56"/>
      <c r="F360" s="56" t="s">
        <v>149</v>
      </c>
      <c r="G360" s="56"/>
      <c r="H360" s="56"/>
      <c r="I360" s="56"/>
      <c r="J360" s="56" t="s">
        <v>149</v>
      </c>
      <c r="K360" s="38" t="n">
        <f aca="false">SUMPRODUCT(LEN(D360:J360))</f>
        <v>2</v>
      </c>
      <c r="L360" s="37"/>
    </row>
    <row r="362" customFormat="false" ht="19.5" hidden="false" customHeight="true" outlineLevel="0" collapsed="false">
      <c r="B362" s="51" t="str">
        <f aca="false">"TABLEAU 10/12  -  PROGRAMME DE JANVIER 2028"&amp;IF($C$6="janvier 2028","          &lt;&lt;&lt; MOIS ACTUELLEMENT FILTRE","")</f>
        <v>TABLEAU 10/12  -  PROGRAMME DE JANVIER 2028</v>
      </c>
      <c r="C362" s="51"/>
      <c r="D362" s="51"/>
      <c r="E362" s="51"/>
      <c r="F362" s="51"/>
      <c r="G362" s="51"/>
      <c r="H362" s="51"/>
      <c r="I362" s="51"/>
      <c r="J362" s="51"/>
      <c r="L362" s="52" t="s">
        <v>143</v>
      </c>
    </row>
    <row r="363" customFormat="false" ht="25.5" hidden="false" customHeight="true" outlineLevel="0" collapsed="false">
      <c r="B363" s="53" t="s">
        <v>84</v>
      </c>
      <c r="C363" s="53" t="s">
        <v>144</v>
      </c>
      <c r="D363" s="53" t="s">
        <v>27</v>
      </c>
      <c r="E363" s="53" t="s">
        <v>28</v>
      </c>
      <c r="F363" s="53" t="s">
        <v>29</v>
      </c>
      <c r="G363" s="53" t="s">
        <v>30</v>
      </c>
      <c r="H363" s="53" t="s">
        <v>31</v>
      </c>
      <c r="I363" s="53" t="s">
        <v>32</v>
      </c>
      <c r="J363" s="53" t="s">
        <v>33</v>
      </c>
      <c r="K363" s="53" t="s">
        <v>145</v>
      </c>
      <c r="L363" s="53" t="s">
        <v>146</v>
      </c>
    </row>
    <row r="364" customFormat="false" ht="15" hidden="false" customHeight="false" outlineLevel="0" collapsed="false">
      <c r="B364" s="54" t="s">
        <v>12</v>
      </c>
      <c r="C364" s="55" t="s">
        <v>11</v>
      </c>
      <c r="D364" s="56" t="s">
        <v>147</v>
      </c>
      <c r="E364" s="56" t="s">
        <v>147</v>
      </c>
      <c r="F364" s="56" t="s">
        <v>147</v>
      </c>
      <c r="G364" s="56" t="s">
        <v>147</v>
      </c>
      <c r="H364" s="56" t="s">
        <v>147</v>
      </c>
      <c r="I364" s="56" t="s">
        <v>147</v>
      </c>
      <c r="J364" s="56" t="s">
        <v>147</v>
      </c>
      <c r="K364" s="38" t="n">
        <f aca="false">SUMPRODUCT(LEN(D364:J364))</f>
        <v>7</v>
      </c>
      <c r="L364" s="37" t="n">
        <f aca="false">SUM(K364:K366)</f>
        <v>11</v>
      </c>
    </row>
    <row r="365" customFormat="false" ht="15" hidden="false" customHeight="false" outlineLevel="0" collapsed="false">
      <c r="B365" s="54"/>
      <c r="C365" s="55" t="s">
        <v>19</v>
      </c>
      <c r="D365" s="56" t="s">
        <v>147</v>
      </c>
      <c r="E365" s="56"/>
      <c r="F365" s="56"/>
      <c r="G365" s="56"/>
      <c r="H365" s="56" t="s">
        <v>147</v>
      </c>
      <c r="I365" s="56"/>
      <c r="J365" s="56"/>
      <c r="K365" s="38" t="n">
        <f aca="false">SUMPRODUCT(LEN(D365:J365))</f>
        <v>2</v>
      </c>
      <c r="L365" s="37"/>
    </row>
    <row r="366" customFormat="false" ht="15" hidden="false" customHeight="false" outlineLevel="0" collapsed="false">
      <c r="B366" s="54"/>
      <c r="C366" s="55" t="s">
        <v>24</v>
      </c>
      <c r="D366" s="56" t="s">
        <v>148</v>
      </c>
      <c r="E366" s="56"/>
      <c r="F366" s="56"/>
      <c r="G366" s="56"/>
      <c r="H366" s="56"/>
      <c r="I366" s="56"/>
      <c r="J366" s="56"/>
      <c r="K366" s="38" t="n">
        <f aca="false">SUMPRODUCT(LEN(D366:J366))</f>
        <v>2</v>
      </c>
      <c r="L366" s="37"/>
    </row>
    <row r="367" customFormat="false" ht="15" hidden="false" customHeight="false" outlineLevel="0" collapsed="false">
      <c r="B367" s="57" t="s">
        <v>20</v>
      </c>
      <c r="C367" s="55" t="s">
        <v>11</v>
      </c>
      <c r="D367" s="56"/>
      <c r="E367" s="56"/>
      <c r="F367" s="56"/>
      <c r="G367" s="56"/>
      <c r="H367" s="56"/>
      <c r="I367" s="56"/>
      <c r="J367" s="56" t="s">
        <v>147</v>
      </c>
      <c r="K367" s="38" t="n">
        <f aca="false">SUMPRODUCT(LEN(D367:J367))</f>
        <v>1</v>
      </c>
      <c r="L367" s="37" t="n">
        <f aca="false">SUM(K367:K369)</f>
        <v>3</v>
      </c>
    </row>
    <row r="368" customFormat="false" ht="15" hidden="false" customHeight="false" outlineLevel="0" collapsed="false">
      <c r="B368" s="57"/>
      <c r="C368" s="55" t="s">
        <v>19</v>
      </c>
      <c r="D368" s="56"/>
      <c r="E368" s="56" t="s">
        <v>147</v>
      </c>
      <c r="F368" s="56"/>
      <c r="G368" s="56"/>
      <c r="H368" s="56" t="s">
        <v>147</v>
      </c>
      <c r="I368" s="56"/>
      <c r="J368" s="56"/>
      <c r="K368" s="38" t="n">
        <f aca="false">SUMPRODUCT(LEN(D368:J368))</f>
        <v>2</v>
      </c>
      <c r="L368" s="37"/>
    </row>
    <row r="369" customFormat="false" ht="15" hidden="false" customHeight="false" outlineLevel="0" collapsed="false">
      <c r="B369" s="57"/>
      <c r="C369" s="55" t="s">
        <v>24</v>
      </c>
      <c r="D369" s="56"/>
      <c r="E369" s="56"/>
      <c r="F369" s="56"/>
      <c r="G369" s="56"/>
      <c r="H369" s="56"/>
      <c r="I369" s="56"/>
      <c r="J369" s="56"/>
      <c r="K369" s="38" t="n">
        <f aca="false">SUMPRODUCT(LEN(D369:J369))</f>
        <v>0</v>
      </c>
      <c r="L369" s="37"/>
    </row>
    <row r="370" customFormat="false" ht="15" hidden="false" customHeight="false" outlineLevel="0" collapsed="false">
      <c r="B370" s="58" t="s">
        <v>25</v>
      </c>
      <c r="C370" s="55" t="s">
        <v>11</v>
      </c>
      <c r="D370" s="56"/>
      <c r="E370" s="56"/>
      <c r="F370" s="56"/>
      <c r="G370" s="56"/>
      <c r="H370" s="56"/>
      <c r="I370" s="56"/>
      <c r="J370" s="56"/>
      <c r="K370" s="38" t="n">
        <f aca="false">SUMPRODUCT(LEN(D370:J370))</f>
        <v>0</v>
      </c>
      <c r="L370" s="37" t="n">
        <f aca="false">SUM(K370:K372)</f>
        <v>2</v>
      </c>
    </row>
    <row r="371" customFormat="false" ht="15" hidden="false" customHeight="false" outlineLevel="0" collapsed="false">
      <c r="B371" s="58"/>
      <c r="C371" s="55" t="s">
        <v>19</v>
      </c>
      <c r="D371" s="56"/>
      <c r="E371" s="56"/>
      <c r="F371" s="56" t="s">
        <v>147</v>
      </c>
      <c r="G371" s="56"/>
      <c r="H371" s="56"/>
      <c r="I371" s="56" t="s">
        <v>147</v>
      </c>
      <c r="J371" s="56"/>
      <c r="K371" s="38" t="n">
        <f aca="false">SUMPRODUCT(LEN(D371:J371))</f>
        <v>2</v>
      </c>
      <c r="L371" s="37"/>
    </row>
    <row r="372" customFormat="false" ht="15" hidden="false" customHeight="false" outlineLevel="0" collapsed="false">
      <c r="B372" s="58"/>
      <c r="C372" s="55" t="s">
        <v>24</v>
      </c>
      <c r="D372" s="56"/>
      <c r="E372" s="56"/>
      <c r="F372" s="56"/>
      <c r="G372" s="56"/>
      <c r="H372" s="56"/>
      <c r="I372" s="56"/>
      <c r="J372" s="56"/>
      <c r="K372" s="38" t="n">
        <f aca="false">SUMPRODUCT(LEN(D372:J372))</f>
        <v>0</v>
      </c>
      <c r="L372" s="37"/>
    </row>
    <row r="373" customFormat="false" ht="15" hidden="false" customHeight="false" outlineLevel="0" collapsed="false">
      <c r="B373" s="59" t="s">
        <v>36</v>
      </c>
      <c r="C373" s="55" t="s">
        <v>11</v>
      </c>
      <c r="D373" s="56"/>
      <c r="E373" s="56"/>
      <c r="F373" s="56"/>
      <c r="G373" s="56"/>
      <c r="H373" s="56"/>
      <c r="I373" s="56"/>
      <c r="J373" s="56"/>
      <c r="K373" s="38" t="n">
        <f aca="false">SUMPRODUCT(LEN(D373:J373))</f>
        <v>0</v>
      </c>
      <c r="L373" s="37" t="n">
        <f aca="false">SUM(K373:K375)</f>
        <v>6</v>
      </c>
    </row>
    <row r="374" customFormat="false" ht="15" hidden="false" customHeight="false" outlineLevel="0" collapsed="false">
      <c r="B374" s="59"/>
      <c r="C374" s="55" t="s">
        <v>19</v>
      </c>
      <c r="D374" s="56"/>
      <c r="E374" s="56"/>
      <c r="F374" s="56" t="s">
        <v>149</v>
      </c>
      <c r="G374" s="56"/>
      <c r="H374" s="56"/>
      <c r="I374" s="56"/>
      <c r="J374" s="56"/>
      <c r="K374" s="38" t="n">
        <f aca="false">SUMPRODUCT(LEN(D374:J374))</f>
        <v>1</v>
      </c>
      <c r="L374" s="37"/>
    </row>
    <row r="375" customFormat="false" ht="15" hidden="false" customHeight="false" outlineLevel="0" collapsed="false">
      <c r="B375" s="59"/>
      <c r="C375" s="55" t="s">
        <v>24</v>
      </c>
      <c r="D375" s="56" t="s">
        <v>149</v>
      </c>
      <c r="E375" s="56" t="s">
        <v>149</v>
      </c>
      <c r="F375" s="56" t="s">
        <v>149</v>
      </c>
      <c r="G375" s="56" t="s">
        <v>149</v>
      </c>
      <c r="H375" s="56" t="s">
        <v>149</v>
      </c>
      <c r="I375" s="56"/>
      <c r="J375" s="56"/>
      <c r="K375" s="38" t="n">
        <f aca="false">SUMPRODUCT(LEN(D375:J375))</f>
        <v>5</v>
      </c>
      <c r="L375" s="37"/>
    </row>
    <row r="376" customFormat="false" ht="15" hidden="false" customHeight="false" outlineLevel="0" collapsed="false">
      <c r="B376" s="60" t="s">
        <v>40</v>
      </c>
      <c r="C376" s="55" t="s">
        <v>11</v>
      </c>
      <c r="D376" s="56"/>
      <c r="E376" s="56"/>
      <c r="F376" s="56"/>
      <c r="G376" s="56"/>
      <c r="H376" s="56"/>
      <c r="I376" s="56"/>
      <c r="J376" s="56"/>
      <c r="K376" s="38" t="n">
        <f aca="false">SUMPRODUCT(LEN(D376:J376))</f>
        <v>0</v>
      </c>
      <c r="L376" s="37" t="n">
        <f aca="false">SUM(K376:K378)</f>
        <v>4</v>
      </c>
    </row>
    <row r="377" customFormat="false" ht="15" hidden="false" customHeight="false" outlineLevel="0" collapsed="false">
      <c r="B377" s="60"/>
      <c r="C377" s="55" t="s">
        <v>19</v>
      </c>
      <c r="D377" s="56"/>
      <c r="E377" s="56"/>
      <c r="F377" s="56"/>
      <c r="G377" s="56"/>
      <c r="H377" s="56"/>
      <c r="I377" s="56"/>
      <c r="J377" s="56"/>
      <c r="K377" s="38" t="n">
        <f aca="false">SUMPRODUCT(LEN(D377:J377))</f>
        <v>0</v>
      </c>
      <c r="L377" s="37"/>
    </row>
    <row r="378" customFormat="false" ht="15" hidden="false" customHeight="false" outlineLevel="0" collapsed="false">
      <c r="B378" s="60"/>
      <c r="C378" s="55" t="s">
        <v>24</v>
      </c>
      <c r="D378" s="56" t="s">
        <v>149</v>
      </c>
      <c r="E378" s="56"/>
      <c r="F378" s="56" t="s">
        <v>149</v>
      </c>
      <c r="G378" s="56"/>
      <c r="H378" s="56" t="s">
        <v>149</v>
      </c>
      <c r="I378" s="56"/>
      <c r="J378" s="56" t="s">
        <v>149</v>
      </c>
      <c r="K378" s="38" t="n">
        <f aca="false">SUMPRODUCT(LEN(D378:J378))</f>
        <v>4</v>
      </c>
      <c r="L378" s="37"/>
    </row>
    <row r="379" customFormat="false" ht="15" hidden="false" customHeight="false" outlineLevel="0" collapsed="false">
      <c r="B379" s="61" t="s">
        <v>14</v>
      </c>
      <c r="C379" s="55" t="s">
        <v>11</v>
      </c>
      <c r="D379" s="56"/>
      <c r="E379" s="56"/>
      <c r="F379" s="56"/>
      <c r="G379" s="56"/>
      <c r="H379" s="56"/>
      <c r="I379" s="56"/>
      <c r="J379" s="56"/>
      <c r="K379" s="38" t="n">
        <f aca="false">SUMPRODUCT(LEN(D379:J379))</f>
        <v>0</v>
      </c>
      <c r="L379" s="37" t="n">
        <f aca="false">SUM(K379:K381)</f>
        <v>3</v>
      </c>
    </row>
    <row r="380" customFormat="false" ht="15" hidden="false" customHeight="false" outlineLevel="0" collapsed="false">
      <c r="B380" s="61"/>
      <c r="C380" s="55" t="s">
        <v>19</v>
      </c>
      <c r="D380" s="56"/>
      <c r="E380" s="56"/>
      <c r="F380" s="56"/>
      <c r="G380" s="56"/>
      <c r="H380" s="56"/>
      <c r="I380" s="56"/>
      <c r="J380" s="56"/>
      <c r="K380" s="38" t="n">
        <f aca="false">SUMPRODUCT(LEN(D380:J380))</f>
        <v>0</v>
      </c>
      <c r="L380" s="37"/>
    </row>
    <row r="381" customFormat="false" ht="15" hidden="false" customHeight="false" outlineLevel="0" collapsed="false">
      <c r="B381" s="61"/>
      <c r="C381" s="55" t="s">
        <v>24</v>
      </c>
      <c r="D381" s="56" t="s">
        <v>149</v>
      </c>
      <c r="E381" s="56"/>
      <c r="F381" s="56"/>
      <c r="G381" s="56" t="s">
        <v>149</v>
      </c>
      <c r="H381" s="56"/>
      <c r="I381" s="56" t="s">
        <v>149</v>
      </c>
      <c r="J381" s="56"/>
      <c r="K381" s="38" t="n">
        <f aca="false">SUMPRODUCT(LEN(D381:J381))</f>
        <v>3</v>
      </c>
      <c r="L381" s="37"/>
    </row>
    <row r="382" customFormat="false" ht="15" hidden="false" customHeight="false" outlineLevel="0" collapsed="false">
      <c r="B382" s="62" t="s">
        <v>46</v>
      </c>
      <c r="C382" s="55" t="s">
        <v>11</v>
      </c>
      <c r="D382" s="56"/>
      <c r="E382" s="56"/>
      <c r="F382" s="56"/>
      <c r="G382" s="56"/>
      <c r="H382" s="56"/>
      <c r="I382" s="56"/>
      <c r="J382" s="56"/>
      <c r="K382" s="38" t="n">
        <f aca="false">SUMPRODUCT(LEN(D382:J382))</f>
        <v>0</v>
      </c>
      <c r="L382" s="37" t="n">
        <f aca="false">SUM(K382:K384)</f>
        <v>3</v>
      </c>
    </row>
    <row r="383" customFormat="false" ht="15" hidden="false" customHeight="false" outlineLevel="0" collapsed="false">
      <c r="B383" s="62"/>
      <c r="C383" s="55" t="s">
        <v>19</v>
      </c>
      <c r="D383" s="56"/>
      <c r="E383" s="56"/>
      <c r="F383" s="56"/>
      <c r="G383" s="56"/>
      <c r="H383" s="56"/>
      <c r="I383" s="56"/>
      <c r="J383" s="56"/>
      <c r="K383" s="38" t="n">
        <f aca="false">SUMPRODUCT(LEN(D383:J383))</f>
        <v>0</v>
      </c>
      <c r="L383" s="37"/>
    </row>
    <row r="384" customFormat="false" ht="15" hidden="false" customHeight="false" outlineLevel="0" collapsed="false">
      <c r="B384" s="62"/>
      <c r="C384" s="55" t="s">
        <v>24</v>
      </c>
      <c r="D384" s="56"/>
      <c r="E384" s="56" t="s">
        <v>149</v>
      </c>
      <c r="F384" s="56"/>
      <c r="G384" s="56" t="s">
        <v>149</v>
      </c>
      <c r="H384" s="56"/>
      <c r="I384" s="56" t="s">
        <v>149</v>
      </c>
      <c r="J384" s="56"/>
      <c r="K384" s="38" t="n">
        <f aca="false">SUMPRODUCT(LEN(D384:J384))</f>
        <v>3</v>
      </c>
      <c r="L384" s="37"/>
    </row>
    <row r="385" customFormat="false" ht="15" hidden="false" customHeight="false" outlineLevel="0" collapsed="false">
      <c r="B385" s="63" t="s">
        <v>49</v>
      </c>
      <c r="C385" s="55" t="s">
        <v>11</v>
      </c>
      <c r="D385" s="56"/>
      <c r="E385" s="56"/>
      <c r="F385" s="56"/>
      <c r="G385" s="56"/>
      <c r="H385" s="56"/>
      <c r="I385" s="56"/>
      <c r="J385" s="56"/>
      <c r="K385" s="38" t="n">
        <f aca="false">SUMPRODUCT(LEN(D385:J385))</f>
        <v>0</v>
      </c>
      <c r="L385" s="37" t="n">
        <f aca="false">SUM(K385:K387)</f>
        <v>2</v>
      </c>
    </row>
    <row r="386" customFormat="false" ht="15" hidden="false" customHeight="false" outlineLevel="0" collapsed="false">
      <c r="B386" s="63"/>
      <c r="C386" s="55" t="s">
        <v>19</v>
      </c>
      <c r="D386" s="56" t="s">
        <v>149</v>
      </c>
      <c r="E386" s="56"/>
      <c r="F386" s="56"/>
      <c r="G386" s="56"/>
      <c r="H386" s="56" t="s">
        <v>149</v>
      </c>
      <c r="I386" s="56"/>
      <c r="J386" s="56"/>
      <c r="K386" s="38" t="n">
        <f aca="false">SUMPRODUCT(LEN(D386:J386))</f>
        <v>2</v>
      </c>
      <c r="L386" s="37"/>
    </row>
    <row r="387" customFormat="false" ht="15" hidden="false" customHeight="false" outlineLevel="0" collapsed="false">
      <c r="B387" s="63"/>
      <c r="C387" s="55" t="s">
        <v>24</v>
      </c>
      <c r="D387" s="56"/>
      <c r="E387" s="56"/>
      <c r="F387" s="56"/>
      <c r="G387" s="56"/>
      <c r="H387" s="56"/>
      <c r="I387" s="56"/>
      <c r="J387" s="56"/>
      <c r="K387" s="38" t="n">
        <f aca="false">SUMPRODUCT(LEN(D387:J387))</f>
        <v>0</v>
      </c>
      <c r="L387" s="37"/>
    </row>
    <row r="388" customFormat="false" ht="15" hidden="false" customHeight="false" outlineLevel="0" collapsed="false">
      <c r="B388" s="64" t="s">
        <v>53</v>
      </c>
      <c r="C388" s="55" t="s">
        <v>11</v>
      </c>
      <c r="D388" s="56"/>
      <c r="E388" s="56"/>
      <c r="F388" s="56"/>
      <c r="G388" s="56"/>
      <c r="H388" s="56"/>
      <c r="I388" s="56"/>
      <c r="J388" s="56"/>
      <c r="K388" s="38" t="n">
        <f aca="false">SUMPRODUCT(LEN(D388:J388))</f>
        <v>0</v>
      </c>
      <c r="L388" s="37" t="n">
        <f aca="false">SUM(K388:K390)</f>
        <v>1</v>
      </c>
    </row>
    <row r="389" customFormat="false" ht="15" hidden="false" customHeight="false" outlineLevel="0" collapsed="false">
      <c r="B389" s="64"/>
      <c r="C389" s="55" t="s">
        <v>19</v>
      </c>
      <c r="D389" s="56"/>
      <c r="E389" s="56"/>
      <c r="F389" s="56"/>
      <c r="G389" s="56" t="s">
        <v>149</v>
      </c>
      <c r="H389" s="56"/>
      <c r="I389" s="56"/>
      <c r="J389" s="56"/>
      <c r="K389" s="38" t="n">
        <f aca="false">SUMPRODUCT(LEN(D389:J389))</f>
        <v>1</v>
      </c>
      <c r="L389" s="37"/>
    </row>
    <row r="390" customFormat="false" ht="15" hidden="false" customHeight="false" outlineLevel="0" collapsed="false">
      <c r="B390" s="64"/>
      <c r="C390" s="55" t="s">
        <v>24</v>
      </c>
      <c r="D390" s="56"/>
      <c r="E390" s="56"/>
      <c r="F390" s="56"/>
      <c r="G390" s="56"/>
      <c r="H390" s="56"/>
      <c r="I390" s="56"/>
      <c r="J390" s="56"/>
      <c r="K390" s="38" t="n">
        <f aca="false">SUMPRODUCT(LEN(D390:J390))</f>
        <v>0</v>
      </c>
      <c r="L390" s="37"/>
    </row>
    <row r="391" customFormat="false" ht="15" hidden="false" customHeight="false" outlineLevel="0" collapsed="false">
      <c r="B391" s="65" t="s">
        <v>56</v>
      </c>
      <c r="C391" s="55" t="s">
        <v>11</v>
      </c>
      <c r="D391" s="56"/>
      <c r="E391" s="56"/>
      <c r="F391" s="56"/>
      <c r="G391" s="56"/>
      <c r="H391" s="56"/>
      <c r="I391" s="56"/>
      <c r="J391" s="56"/>
      <c r="K391" s="38" t="n">
        <f aca="false">SUMPRODUCT(LEN(D391:J391))</f>
        <v>0</v>
      </c>
      <c r="L391" s="37" t="n">
        <f aca="false">SUM(K391:K393)</f>
        <v>2</v>
      </c>
    </row>
    <row r="392" customFormat="false" ht="15" hidden="false" customHeight="false" outlineLevel="0" collapsed="false">
      <c r="B392" s="65"/>
      <c r="C392" s="55" t="s">
        <v>19</v>
      </c>
      <c r="D392" s="56"/>
      <c r="E392" s="56"/>
      <c r="F392" s="56"/>
      <c r="G392" s="56"/>
      <c r="H392" s="56"/>
      <c r="I392" s="56"/>
      <c r="J392" s="56"/>
      <c r="K392" s="38" t="n">
        <f aca="false">SUMPRODUCT(LEN(D392:J392))</f>
        <v>0</v>
      </c>
      <c r="L392" s="37"/>
    </row>
    <row r="393" customFormat="false" ht="15" hidden="false" customHeight="false" outlineLevel="0" collapsed="false">
      <c r="B393" s="65"/>
      <c r="C393" s="55" t="s">
        <v>24</v>
      </c>
      <c r="D393" s="56"/>
      <c r="E393" s="56" t="s">
        <v>149</v>
      </c>
      <c r="F393" s="56"/>
      <c r="G393" s="56"/>
      <c r="H393" s="56"/>
      <c r="I393" s="56" t="s">
        <v>149</v>
      </c>
      <c r="J393" s="56"/>
      <c r="K393" s="38" t="n">
        <f aca="false">SUMPRODUCT(LEN(D393:J393))</f>
        <v>2</v>
      </c>
      <c r="L393" s="37"/>
    </row>
    <row r="394" customFormat="false" ht="15" hidden="false" customHeight="false" outlineLevel="0" collapsed="false">
      <c r="B394" s="66" t="s">
        <v>59</v>
      </c>
      <c r="C394" s="55" t="s">
        <v>11</v>
      </c>
      <c r="D394" s="56"/>
      <c r="E394" s="56"/>
      <c r="F394" s="56"/>
      <c r="G394" s="56"/>
      <c r="H394" s="56"/>
      <c r="I394" s="56"/>
      <c r="J394" s="56"/>
      <c r="K394" s="38" t="n">
        <f aca="false">SUMPRODUCT(LEN(D394:J394))</f>
        <v>0</v>
      </c>
      <c r="L394" s="37" t="n">
        <f aca="false">SUM(K394:K396)</f>
        <v>7</v>
      </c>
    </row>
    <row r="395" customFormat="false" ht="15" hidden="false" customHeight="false" outlineLevel="0" collapsed="false">
      <c r="B395" s="66"/>
      <c r="C395" s="55" t="s">
        <v>19</v>
      </c>
      <c r="D395" s="56"/>
      <c r="E395" s="56"/>
      <c r="F395" s="56"/>
      <c r="G395" s="56"/>
      <c r="H395" s="56"/>
      <c r="I395" s="56"/>
      <c r="J395" s="56"/>
      <c r="K395" s="38" t="n">
        <f aca="false">SUMPRODUCT(LEN(D395:J395))</f>
        <v>0</v>
      </c>
      <c r="L395" s="37"/>
    </row>
    <row r="396" customFormat="false" ht="15" hidden="false" customHeight="false" outlineLevel="0" collapsed="false">
      <c r="B396" s="66"/>
      <c r="C396" s="55" t="s">
        <v>24</v>
      </c>
      <c r="D396" s="56" t="s">
        <v>149</v>
      </c>
      <c r="E396" s="56" t="s">
        <v>149</v>
      </c>
      <c r="F396" s="56" t="s">
        <v>149</v>
      </c>
      <c r="G396" s="56" t="s">
        <v>150</v>
      </c>
      <c r="H396" s="56" t="s">
        <v>149</v>
      </c>
      <c r="I396" s="56" t="s">
        <v>149</v>
      </c>
      <c r="J396" s="56"/>
      <c r="K396" s="38" t="n">
        <f aca="false">SUMPRODUCT(LEN(D396:J396))</f>
        <v>7</v>
      </c>
      <c r="L396" s="37"/>
    </row>
    <row r="397" customFormat="false" ht="15" hidden="false" customHeight="false" outlineLevel="0" collapsed="false">
      <c r="B397" s="67" t="s">
        <v>62</v>
      </c>
      <c r="C397" s="55" t="s">
        <v>11</v>
      </c>
      <c r="D397" s="56"/>
      <c r="E397" s="56"/>
      <c r="F397" s="56"/>
      <c r="G397" s="56"/>
      <c r="H397" s="56"/>
      <c r="I397" s="56"/>
      <c r="J397" s="56"/>
      <c r="K397" s="38" t="n">
        <f aca="false">SUMPRODUCT(LEN(D397:J397))</f>
        <v>0</v>
      </c>
      <c r="L397" s="37" t="n">
        <f aca="false">SUM(K397:K399)</f>
        <v>2</v>
      </c>
    </row>
    <row r="398" customFormat="false" ht="15" hidden="false" customHeight="false" outlineLevel="0" collapsed="false">
      <c r="B398" s="67"/>
      <c r="C398" s="55" t="s">
        <v>19</v>
      </c>
      <c r="D398" s="56"/>
      <c r="E398" s="56"/>
      <c r="F398" s="56"/>
      <c r="G398" s="56"/>
      <c r="H398" s="56"/>
      <c r="I398" s="56"/>
      <c r="J398" s="56"/>
      <c r="K398" s="38" t="n">
        <f aca="false">SUMPRODUCT(LEN(D398:J398))</f>
        <v>0</v>
      </c>
      <c r="L398" s="37"/>
    </row>
    <row r="399" customFormat="false" ht="15" hidden="false" customHeight="false" outlineLevel="0" collapsed="false">
      <c r="B399" s="67"/>
      <c r="C399" s="55" t="s">
        <v>24</v>
      </c>
      <c r="D399" s="56"/>
      <c r="E399" s="56"/>
      <c r="F399" s="56" t="s">
        <v>149</v>
      </c>
      <c r="G399" s="56"/>
      <c r="H399" s="56"/>
      <c r="I399" s="56"/>
      <c r="J399" s="56" t="s">
        <v>149</v>
      </c>
      <c r="K399" s="38" t="n">
        <f aca="false">SUMPRODUCT(LEN(D399:J399))</f>
        <v>2</v>
      </c>
      <c r="L399" s="37"/>
    </row>
    <row r="401" customFormat="false" ht="19.5" hidden="false" customHeight="true" outlineLevel="0" collapsed="false">
      <c r="B401" s="51" t="str">
        <f aca="false">"TABLEAU 11/12  -  PROGRAMME DE FEVRIER 2028"&amp;IF($C$6="fevrier 2028","          &lt;&lt;&lt; MOIS ACTUELLEMENT FILTRE","")</f>
        <v>TABLEAU 11/12  -  PROGRAMME DE FEVRIER 2028</v>
      </c>
      <c r="C401" s="51"/>
      <c r="D401" s="51"/>
      <c r="E401" s="51"/>
      <c r="F401" s="51"/>
      <c r="G401" s="51"/>
      <c r="H401" s="51"/>
      <c r="I401" s="51"/>
      <c r="J401" s="51"/>
      <c r="L401" s="52" t="s">
        <v>143</v>
      </c>
    </row>
    <row r="402" customFormat="false" ht="25.5" hidden="false" customHeight="true" outlineLevel="0" collapsed="false">
      <c r="B402" s="53" t="s">
        <v>84</v>
      </c>
      <c r="C402" s="53" t="s">
        <v>144</v>
      </c>
      <c r="D402" s="53" t="s">
        <v>27</v>
      </c>
      <c r="E402" s="53" t="s">
        <v>28</v>
      </c>
      <c r="F402" s="53" t="s">
        <v>29</v>
      </c>
      <c r="G402" s="53" t="s">
        <v>30</v>
      </c>
      <c r="H402" s="53" t="s">
        <v>31</v>
      </c>
      <c r="I402" s="53" t="s">
        <v>32</v>
      </c>
      <c r="J402" s="53" t="s">
        <v>33</v>
      </c>
      <c r="K402" s="53" t="s">
        <v>145</v>
      </c>
      <c r="L402" s="53" t="s">
        <v>146</v>
      </c>
    </row>
    <row r="403" customFormat="false" ht="15" hidden="false" customHeight="false" outlineLevel="0" collapsed="false">
      <c r="B403" s="54" t="s">
        <v>12</v>
      </c>
      <c r="C403" s="55" t="s">
        <v>11</v>
      </c>
      <c r="D403" s="56" t="s">
        <v>147</v>
      </c>
      <c r="E403" s="56" t="s">
        <v>147</v>
      </c>
      <c r="F403" s="56" t="s">
        <v>147</v>
      </c>
      <c r="G403" s="56" t="s">
        <v>147</v>
      </c>
      <c r="H403" s="56" t="s">
        <v>147</v>
      </c>
      <c r="I403" s="56" t="s">
        <v>147</v>
      </c>
      <c r="J403" s="56" t="s">
        <v>147</v>
      </c>
      <c r="K403" s="38" t="n">
        <f aca="false">SUMPRODUCT(LEN(D403:J403))</f>
        <v>7</v>
      </c>
      <c r="L403" s="37" t="n">
        <f aca="false">SUM(K403:K405)</f>
        <v>11</v>
      </c>
    </row>
    <row r="404" customFormat="false" ht="15" hidden="false" customHeight="false" outlineLevel="0" collapsed="false">
      <c r="B404" s="54"/>
      <c r="C404" s="55" t="s">
        <v>19</v>
      </c>
      <c r="D404" s="56" t="s">
        <v>147</v>
      </c>
      <c r="E404" s="56"/>
      <c r="F404" s="56"/>
      <c r="G404" s="56"/>
      <c r="H404" s="56" t="s">
        <v>147</v>
      </c>
      <c r="I404" s="56"/>
      <c r="J404" s="56"/>
      <c r="K404" s="38" t="n">
        <f aca="false">SUMPRODUCT(LEN(D404:J404))</f>
        <v>2</v>
      </c>
      <c r="L404" s="37"/>
    </row>
    <row r="405" customFormat="false" ht="15" hidden="false" customHeight="false" outlineLevel="0" collapsed="false">
      <c r="B405" s="54"/>
      <c r="C405" s="55" t="s">
        <v>24</v>
      </c>
      <c r="D405" s="56" t="s">
        <v>148</v>
      </c>
      <c r="E405" s="56"/>
      <c r="F405" s="56"/>
      <c r="G405" s="56"/>
      <c r="H405" s="56"/>
      <c r="I405" s="56"/>
      <c r="J405" s="56"/>
      <c r="K405" s="38" t="n">
        <f aca="false">SUMPRODUCT(LEN(D405:J405))</f>
        <v>2</v>
      </c>
      <c r="L405" s="37"/>
    </row>
    <row r="406" customFormat="false" ht="15" hidden="false" customHeight="false" outlineLevel="0" collapsed="false">
      <c r="B406" s="57" t="s">
        <v>20</v>
      </c>
      <c r="C406" s="55" t="s">
        <v>11</v>
      </c>
      <c r="D406" s="56"/>
      <c r="E406" s="56"/>
      <c r="F406" s="56"/>
      <c r="G406" s="56"/>
      <c r="H406" s="56"/>
      <c r="I406" s="56"/>
      <c r="J406" s="56" t="s">
        <v>147</v>
      </c>
      <c r="K406" s="38" t="n">
        <f aca="false">SUMPRODUCT(LEN(D406:J406))</f>
        <v>1</v>
      </c>
      <c r="L406" s="37" t="n">
        <f aca="false">SUM(K406:K408)</f>
        <v>3</v>
      </c>
    </row>
    <row r="407" customFormat="false" ht="15" hidden="false" customHeight="false" outlineLevel="0" collapsed="false">
      <c r="B407" s="57"/>
      <c r="C407" s="55" t="s">
        <v>19</v>
      </c>
      <c r="D407" s="56"/>
      <c r="E407" s="56" t="s">
        <v>147</v>
      </c>
      <c r="F407" s="56"/>
      <c r="G407" s="56"/>
      <c r="H407" s="56" t="s">
        <v>147</v>
      </c>
      <c r="I407" s="56"/>
      <c r="J407" s="56"/>
      <c r="K407" s="38" t="n">
        <f aca="false">SUMPRODUCT(LEN(D407:J407))</f>
        <v>2</v>
      </c>
      <c r="L407" s="37"/>
    </row>
    <row r="408" customFormat="false" ht="15" hidden="false" customHeight="false" outlineLevel="0" collapsed="false">
      <c r="B408" s="57"/>
      <c r="C408" s="55" t="s">
        <v>24</v>
      </c>
      <c r="D408" s="56"/>
      <c r="E408" s="56"/>
      <c r="F408" s="56"/>
      <c r="G408" s="56"/>
      <c r="H408" s="56"/>
      <c r="I408" s="56"/>
      <c r="J408" s="56"/>
      <c r="K408" s="38" t="n">
        <f aca="false">SUMPRODUCT(LEN(D408:J408))</f>
        <v>0</v>
      </c>
      <c r="L408" s="37"/>
    </row>
    <row r="409" customFormat="false" ht="15" hidden="false" customHeight="false" outlineLevel="0" collapsed="false">
      <c r="B409" s="58" t="s">
        <v>25</v>
      </c>
      <c r="C409" s="55" t="s">
        <v>11</v>
      </c>
      <c r="D409" s="56"/>
      <c r="E409" s="56"/>
      <c r="F409" s="56"/>
      <c r="G409" s="56"/>
      <c r="H409" s="56"/>
      <c r="I409" s="56"/>
      <c r="J409" s="56"/>
      <c r="K409" s="38" t="n">
        <f aca="false">SUMPRODUCT(LEN(D409:J409))</f>
        <v>0</v>
      </c>
      <c r="L409" s="37" t="n">
        <f aca="false">SUM(K409:K411)</f>
        <v>2</v>
      </c>
    </row>
    <row r="410" customFormat="false" ht="15" hidden="false" customHeight="false" outlineLevel="0" collapsed="false">
      <c r="B410" s="58"/>
      <c r="C410" s="55" t="s">
        <v>19</v>
      </c>
      <c r="D410" s="56"/>
      <c r="E410" s="56"/>
      <c r="F410" s="56" t="s">
        <v>147</v>
      </c>
      <c r="G410" s="56"/>
      <c r="H410" s="56"/>
      <c r="I410" s="56" t="s">
        <v>147</v>
      </c>
      <c r="J410" s="56"/>
      <c r="K410" s="38" t="n">
        <f aca="false">SUMPRODUCT(LEN(D410:J410))</f>
        <v>2</v>
      </c>
      <c r="L410" s="37"/>
    </row>
    <row r="411" customFormat="false" ht="15" hidden="false" customHeight="false" outlineLevel="0" collapsed="false">
      <c r="B411" s="58"/>
      <c r="C411" s="55" t="s">
        <v>24</v>
      </c>
      <c r="D411" s="56"/>
      <c r="E411" s="56"/>
      <c r="F411" s="56"/>
      <c r="G411" s="56"/>
      <c r="H411" s="56"/>
      <c r="I411" s="56"/>
      <c r="J411" s="56"/>
      <c r="K411" s="38" t="n">
        <f aca="false">SUMPRODUCT(LEN(D411:J411))</f>
        <v>0</v>
      </c>
      <c r="L411" s="37"/>
    </row>
    <row r="412" customFormat="false" ht="15" hidden="false" customHeight="false" outlineLevel="0" collapsed="false">
      <c r="B412" s="59" t="s">
        <v>36</v>
      </c>
      <c r="C412" s="55" t="s">
        <v>11</v>
      </c>
      <c r="D412" s="56"/>
      <c r="E412" s="56"/>
      <c r="F412" s="56"/>
      <c r="G412" s="56"/>
      <c r="H412" s="56"/>
      <c r="I412" s="56"/>
      <c r="J412" s="56"/>
      <c r="K412" s="38" t="n">
        <f aca="false">SUMPRODUCT(LEN(D412:J412))</f>
        <v>0</v>
      </c>
      <c r="L412" s="37" t="n">
        <f aca="false">SUM(K412:K414)</f>
        <v>6</v>
      </c>
    </row>
    <row r="413" customFormat="false" ht="15" hidden="false" customHeight="false" outlineLevel="0" collapsed="false">
      <c r="B413" s="59"/>
      <c r="C413" s="55" t="s">
        <v>19</v>
      </c>
      <c r="D413" s="56"/>
      <c r="E413" s="56"/>
      <c r="F413" s="56" t="s">
        <v>149</v>
      </c>
      <c r="G413" s="56"/>
      <c r="H413" s="56"/>
      <c r="I413" s="56"/>
      <c r="J413" s="56"/>
      <c r="K413" s="38" t="n">
        <f aca="false">SUMPRODUCT(LEN(D413:J413))</f>
        <v>1</v>
      </c>
      <c r="L413" s="37"/>
    </row>
    <row r="414" customFormat="false" ht="15" hidden="false" customHeight="false" outlineLevel="0" collapsed="false">
      <c r="B414" s="59"/>
      <c r="C414" s="55" t="s">
        <v>24</v>
      </c>
      <c r="D414" s="56" t="s">
        <v>149</v>
      </c>
      <c r="E414" s="56" t="s">
        <v>149</v>
      </c>
      <c r="F414" s="56" t="s">
        <v>149</v>
      </c>
      <c r="G414" s="56" t="s">
        <v>149</v>
      </c>
      <c r="H414" s="56" t="s">
        <v>149</v>
      </c>
      <c r="I414" s="56"/>
      <c r="J414" s="56"/>
      <c r="K414" s="38" t="n">
        <f aca="false">SUMPRODUCT(LEN(D414:J414))</f>
        <v>5</v>
      </c>
      <c r="L414" s="37"/>
    </row>
    <row r="415" customFormat="false" ht="15" hidden="false" customHeight="false" outlineLevel="0" collapsed="false">
      <c r="B415" s="60" t="s">
        <v>40</v>
      </c>
      <c r="C415" s="55" t="s">
        <v>11</v>
      </c>
      <c r="D415" s="56"/>
      <c r="E415" s="56"/>
      <c r="F415" s="56"/>
      <c r="G415" s="56"/>
      <c r="H415" s="56"/>
      <c r="I415" s="56"/>
      <c r="J415" s="56"/>
      <c r="K415" s="38" t="n">
        <f aca="false">SUMPRODUCT(LEN(D415:J415))</f>
        <v>0</v>
      </c>
      <c r="L415" s="37" t="n">
        <f aca="false">SUM(K415:K417)</f>
        <v>4</v>
      </c>
    </row>
    <row r="416" customFormat="false" ht="15" hidden="false" customHeight="false" outlineLevel="0" collapsed="false">
      <c r="B416" s="60"/>
      <c r="C416" s="55" t="s">
        <v>19</v>
      </c>
      <c r="D416" s="56"/>
      <c r="E416" s="56"/>
      <c r="F416" s="56"/>
      <c r="G416" s="56"/>
      <c r="H416" s="56"/>
      <c r="I416" s="56"/>
      <c r="J416" s="56"/>
      <c r="K416" s="38" t="n">
        <f aca="false">SUMPRODUCT(LEN(D416:J416))</f>
        <v>0</v>
      </c>
      <c r="L416" s="37"/>
    </row>
    <row r="417" customFormat="false" ht="15" hidden="false" customHeight="false" outlineLevel="0" collapsed="false">
      <c r="B417" s="60"/>
      <c r="C417" s="55" t="s">
        <v>24</v>
      </c>
      <c r="D417" s="56" t="s">
        <v>149</v>
      </c>
      <c r="E417" s="56"/>
      <c r="F417" s="56" t="s">
        <v>149</v>
      </c>
      <c r="G417" s="56"/>
      <c r="H417" s="56" t="s">
        <v>149</v>
      </c>
      <c r="I417" s="56"/>
      <c r="J417" s="56" t="s">
        <v>149</v>
      </c>
      <c r="K417" s="38" t="n">
        <f aca="false">SUMPRODUCT(LEN(D417:J417))</f>
        <v>4</v>
      </c>
      <c r="L417" s="37"/>
    </row>
    <row r="418" customFormat="false" ht="15" hidden="false" customHeight="false" outlineLevel="0" collapsed="false">
      <c r="B418" s="61" t="s">
        <v>14</v>
      </c>
      <c r="C418" s="55" t="s">
        <v>11</v>
      </c>
      <c r="D418" s="56"/>
      <c r="E418" s="56"/>
      <c r="F418" s="56"/>
      <c r="G418" s="56"/>
      <c r="H418" s="56"/>
      <c r="I418" s="56"/>
      <c r="J418" s="56"/>
      <c r="K418" s="38" t="n">
        <f aca="false">SUMPRODUCT(LEN(D418:J418))</f>
        <v>0</v>
      </c>
      <c r="L418" s="37" t="n">
        <f aca="false">SUM(K418:K420)</f>
        <v>3</v>
      </c>
    </row>
    <row r="419" customFormat="false" ht="15" hidden="false" customHeight="false" outlineLevel="0" collapsed="false">
      <c r="B419" s="61"/>
      <c r="C419" s="55" t="s">
        <v>19</v>
      </c>
      <c r="D419" s="56"/>
      <c r="E419" s="56"/>
      <c r="F419" s="56"/>
      <c r="G419" s="56"/>
      <c r="H419" s="56"/>
      <c r="I419" s="56"/>
      <c r="J419" s="56"/>
      <c r="K419" s="38" t="n">
        <f aca="false">SUMPRODUCT(LEN(D419:J419))</f>
        <v>0</v>
      </c>
      <c r="L419" s="37"/>
    </row>
    <row r="420" customFormat="false" ht="15" hidden="false" customHeight="false" outlineLevel="0" collapsed="false">
      <c r="B420" s="61"/>
      <c r="C420" s="55" t="s">
        <v>24</v>
      </c>
      <c r="D420" s="56" t="s">
        <v>149</v>
      </c>
      <c r="E420" s="56"/>
      <c r="F420" s="56"/>
      <c r="G420" s="56" t="s">
        <v>149</v>
      </c>
      <c r="H420" s="56"/>
      <c r="I420" s="56" t="s">
        <v>149</v>
      </c>
      <c r="J420" s="56"/>
      <c r="K420" s="38" t="n">
        <f aca="false">SUMPRODUCT(LEN(D420:J420))</f>
        <v>3</v>
      </c>
      <c r="L420" s="37"/>
    </row>
    <row r="421" customFormat="false" ht="15" hidden="false" customHeight="false" outlineLevel="0" collapsed="false">
      <c r="B421" s="62" t="s">
        <v>46</v>
      </c>
      <c r="C421" s="55" t="s">
        <v>11</v>
      </c>
      <c r="D421" s="56"/>
      <c r="E421" s="56"/>
      <c r="F421" s="56"/>
      <c r="G421" s="56"/>
      <c r="H421" s="56"/>
      <c r="I421" s="56"/>
      <c r="J421" s="56"/>
      <c r="K421" s="38" t="n">
        <f aca="false">SUMPRODUCT(LEN(D421:J421))</f>
        <v>0</v>
      </c>
      <c r="L421" s="37" t="n">
        <f aca="false">SUM(K421:K423)</f>
        <v>3</v>
      </c>
    </row>
    <row r="422" customFormat="false" ht="15" hidden="false" customHeight="false" outlineLevel="0" collapsed="false">
      <c r="B422" s="62"/>
      <c r="C422" s="55" t="s">
        <v>19</v>
      </c>
      <c r="D422" s="56"/>
      <c r="E422" s="56"/>
      <c r="F422" s="56"/>
      <c r="G422" s="56"/>
      <c r="H422" s="56"/>
      <c r="I422" s="56"/>
      <c r="J422" s="56"/>
      <c r="K422" s="38" t="n">
        <f aca="false">SUMPRODUCT(LEN(D422:J422))</f>
        <v>0</v>
      </c>
      <c r="L422" s="37"/>
    </row>
    <row r="423" customFormat="false" ht="15" hidden="false" customHeight="false" outlineLevel="0" collapsed="false">
      <c r="B423" s="62"/>
      <c r="C423" s="55" t="s">
        <v>24</v>
      </c>
      <c r="D423" s="56"/>
      <c r="E423" s="56" t="s">
        <v>149</v>
      </c>
      <c r="F423" s="56"/>
      <c r="G423" s="56" t="s">
        <v>149</v>
      </c>
      <c r="H423" s="56"/>
      <c r="I423" s="56" t="s">
        <v>149</v>
      </c>
      <c r="J423" s="56"/>
      <c r="K423" s="38" t="n">
        <f aca="false">SUMPRODUCT(LEN(D423:J423))</f>
        <v>3</v>
      </c>
      <c r="L423" s="37"/>
    </row>
    <row r="424" customFormat="false" ht="15" hidden="false" customHeight="false" outlineLevel="0" collapsed="false">
      <c r="B424" s="63" t="s">
        <v>49</v>
      </c>
      <c r="C424" s="55" t="s">
        <v>11</v>
      </c>
      <c r="D424" s="56"/>
      <c r="E424" s="56"/>
      <c r="F424" s="56"/>
      <c r="G424" s="56"/>
      <c r="H424" s="56"/>
      <c r="I424" s="56"/>
      <c r="J424" s="56"/>
      <c r="K424" s="38" t="n">
        <f aca="false">SUMPRODUCT(LEN(D424:J424))</f>
        <v>0</v>
      </c>
      <c r="L424" s="37" t="n">
        <f aca="false">SUM(K424:K426)</f>
        <v>2</v>
      </c>
    </row>
    <row r="425" customFormat="false" ht="15" hidden="false" customHeight="false" outlineLevel="0" collapsed="false">
      <c r="B425" s="63"/>
      <c r="C425" s="55" t="s">
        <v>19</v>
      </c>
      <c r="D425" s="56" t="s">
        <v>149</v>
      </c>
      <c r="E425" s="56"/>
      <c r="F425" s="56"/>
      <c r="G425" s="56"/>
      <c r="H425" s="56" t="s">
        <v>149</v>
      </c>
      <c r="I425" s="56"/>
      <c r="J425" s="56"/>
      <c r="K425" s="38" t="n">
        <f aca="false">SUMPRODUCT(LEN(D425:J425))</f>
        <v>2</v>
      </c>
      <c r="L425" s="37"/>
    </row>
    <row r="426" customFormat="false" ht="15" hidden="false" customHeight="false" outlineLevel="0" collapsed="false">
      <c r="B426" s="63"/>
      <c r="C426" s="55" t="s">
        <v>24</v>
      </c>
      <c r="D426" s="56"/>
      <c r="E426" s="56"/>
      <c r="F426" s="56"/>
      <c r="G426" s="56"/>
      <c r="H426" s="56"/>
      <c r="I426" s="56"/>
      <c r="J426" s="56"/>
      <c r="K426" s="38" t="n">
        <f aca="false">SUMPRODUCT(LEN(D426:J426))</f>
        <v>0</v>
      </c>
      <c r="L426" s="37"/>
    </row>
    <row r="427" customFormat="false" ht="15" hidden="false" customHeight="false" outlineLevel="0" collapsed="false">
      <c r="B427" s="64" t="s">
        <v>53</v>
      </c>
      <c r="C427" s="55" t="s">
        <v>11</v>
      </c>
      <c r="D427" s="56"/>
      <c r="E427" s="56"/>
      <c r="F427" s="56"/>
      <c r="G427" s="56"/>
      <c r="H427" s="56"/>
      <c r="I427" s="56"/>
      <c r="J427" s="56"/>
      <c r="K427" s="38" t="n">
        <f aca="false">SUMPRODUCT(LEN(D427:J427))</f>
        <v>0</v>
      </c>
      <c r="L427" s="37" t="n">
        <f aca="false">SUM(K427:K429)</f>
        <v>1</v>
      </c>
    </row>
    <row r="428" customFormat="false" ht="15" hidden="false" customHeight="false" outlineLevel="0" collapsed="false">
      <c r="B428" s="64"/>
      <c r="C428" s="55" t="s">
        <v>19</v>
      </c>
      <c r="D428" s="56"/>
      <c r="E428" s="56"/>
      <c r="F428" s="56"/>
      <c r="G428" s="56" t="s">
        <v>149</v>
      </c>
      <c r="H428" s="56"/>
      <c r="I428" s="56"/>
      <c r="J428" s="56"/>
      <c r="K428" s="38" t="n">
        <f aca="false">SUMPRODUCT(LEN(D428:J428))</f>
        <v>1</v>
      </c>
      <c r="L428" s="37"/>
    </row>
    <row r="429" customFormat="false" ht="15" hidden="false" customHeight="false" outlineLevel="0" collapsed="false">
      <c r="B429" s="64"/>
      <c r="C429" s="55" t="s">
        <v>24</v>
      </c>
      <c r="D429" s="56"/>
      <c r="E429" s="56"/>
      <c r="F429" s="56"/>
      <c r="G429" s="56"/>
      <c r="H429" s="56"/>
      <c r="I429" s="56"/>
      <c r="J429" s="56"/>
      <c r="K429" s="38" t="n">
        <f aca="false">SUMPRODUCT(LEN(D429:J429))</f>
        <v>0</v>
      </c>
      <c r="L429" s="37"/>
    </row>
    <row r="430" customFormat="false" ht="15" hidden="false" customHeight="false" outlineLevel="0" collapsed="false">
      <c r="B430" s="65" t="s">
        <v>56</v>
      </c>
      <c r="C430" s="55" t="s">
        <v>11</v>
      </c>
      <c r="D430" s="56"/>
      <c r="E430" s="56"/>
      <c r="F430" s="56"/>
      <c r="G430" s="56"/>
      <c r="H430" s="56"/>
      <c r="I430" s="56"/>
      <c r="J430" s="56"/>
      <c r="K430" s="38" t="n">
        <f aca="false">SUMPRODUCT(LEN(D430:J430))</f>
        <v>0</v>
      </c>
      <c r="L430" s="37" t="n">
        <f aca="false">SUM(K430:K432)</f>
        <v>2</v>
      </c>
    </row>
    <row r="431" customFormat="false" ht="15" hidden="false" customHeight="false" outlineLevel="0" collapsed="false">
      <c r="B431" s="65"/>
      <c r="C431" s="55" t="s">
        <v>19</v>
      </c>
      <c r="D431" s="56"/>
      <c r="E431" s="56"/>
      <c r="F431" s="56"/>
      <c r="G431" s="56"/>
      <c r="H431" s="56"/>
      <c r="I431" s="56"/>
      <c r="J431" s="56"/>
      <c r="K431" s="38" t="n">
        <f aca="false">SUMPRODUCT(LEN(D431:J431))</f>
        <v>0</v>
      </c>
      <c r="L431" s="37"/>
    </row>
    <row r="432" customFormat="false" ht="15" hidden="false" customHeight="false" outlineLevel="0" collapsed="false">
      <c r="B432" s="65"/>
      <c r="C432" s="55" t="s">
        <v>24</v>
      </c>
      <c r="D432" s="56"/>
      <c r="E432" s="56" t="s">
        <v>149</v>
      </c>
      <c r="F432" s="56"/>
      <c r="G432" s="56"/>
      <c r="H432" s="56"/>
      <c r="I432" s="56" t="s">
        <v>149</v>
      </c>
      <c r="J432" s="56"/>
      <c r="K432" s="38" t="n">
        <f aca="false">SUMPRODUCT(LEN(D432:J432))</f>
        <v>2</v>
      </c>
      <c r="L432" s="37"/>
    </row>
    <row r="433" customFormat="false" ht="15" hidden="false" customHeight="false" outlineLevel="0" collapsed="false">
      <c r="B433" s="66" t="s">
        <v>59</v>
      </c>
      <c r="C433" s="55" t="s">
        <v>11</v>
      </c>
      <c r="D433" s="56"/>
      <c r="E433" s="56"/>
      <c r="F433" s="56"/>
      <c r="G433" s="56"/>
      <c r="H433" s="56"/>
      <c r="I433" s="56"/>
      <c r="J433" s="56"/>
      <c r="K433" s="38" t="n">
        <f aca="false">SUMPRODUCT(LEN(D433:J433))</f>
        <v>0</v>
      </c>
      <c r="L433" s="37" t="n">
        <f aca="false">SUM(K433:K435)</f>
        <v>7</v>
      </c>
    </row>
    <row r="434" customFormat="false" ht="15" hidden="false" customHeight="false" outlineLevel="0" collapsed="false">
      <c r="B434" s="66"/>
      <c r="C434" s="55" t="s">
        <v>19</v>
      </c>
      <c r="D434" s="56"/>
      <c r="E434" s="56"/>
      <c r="F434" s="56"/>
      <c r="G434" s="56"/>
      <c r="H434" s="56"/>
      <c r="I434" s="56"/>
      <c r="J434" s="56"/>
      <c r="K434" s="38" t="n">
        <f aca="false">SUMPRODUCT(LEN(D434:J434))</f>
        <v>0</v>
      </c>
      <c r="L434" s="37"/>
    </row>
    <row r="435" customFormat="false" ht="15" hidden="false" customHeight="false" outlineLevel="0" collapsed="false">
      <c r="B435" s="66"/>
      <c r="C435" s="55" t="s">
        <v>24</v>
      </c>
      <c r="D435" s="56" t="s">
        <v>149</v>
      </c>
      <c r="E435" s="56" t="s">
        <v>149</v>
      </c>
      <c r="F435" s="56" t="s">
        <v>149</v>
      </c>
      <c r="G435" s="56" t="s">
        <v>150</v>
      </c>
      <c r="H435" s="56" t="s">
        <v>149</v>
      </c>
      <c r="I435" s="56" t="s">
        <v>149</v>
      </c>
      <c r="J435" s="56"/>
      <c r="K435" s="38" t="n">
        <f aca="false">SUMPRODUCT(LEN(D435:J435))</f>
        <v>7</v>
      </c>
      <c r="L435" s="37"/>
    </row>
    <row r="436" customFormat="false" ht="15" hidden="false" customHeight="false" outlineLevel="0" collapsed="false">
      <c r="B436" s="67" t="s">
        <v>62</v>
      </c>
      <c r="C436" s="55" t="s">
        <v>11</v>
      </c>
      <c r="D436" s="56"/>
      <c r="E436" s="56"/>
      <c r="F436" s="56"/>
      <c r="G436" s="56"/>
      <c r="H436" s="56"/>
      <c r="I436" s="56"/>
      <c r="J436" s="56"/>
      <c r="K436" s="38" t="n">
        <f aca="false">SUMPRODUCT(LEN(D436:J436))</f>
        <v>0</v>
      </c>
      <c r="L436" s="37" t="n">
        <f aca="false">SUM(K436:K438)</f>
        <v>2</v>
      </c>
    </row>
    <row r="437" customFormat="false" ht="15" hidden="false" customHeight="false" outlineLevel="0" collapsed="false">
      <c r="B437" s="67"/>
      <c r="C437" s="55" t="s">
        <v>19</v>
      </c>
      <c r="D437" s="56"/>
      <c r="E437" s="56"/>
      <c r="F437" s="56"/>
      <c r="G437" s="56"/>
      <c r="H437" s="56"/>
      <c r="I437" s="56"/>
      <c r="J437" s="56"/>
      <c r="K437" s="38" t="n">
        <f aca="false">SUMPRODUCT(LEN(D437:J437))</f>
        <v>0</v>
      </c>
      <c r="L437" s="37"/>
    </row>
    <row r="438" customFormat="false" ht="15" hidden="false" customHeight="false" outlineLevel="0" collapsed="false">
      <c r="B438" s="67"/>
      <c r="C438" s="55" t="s">
        <v>24</v>
      </c>
      <c r="D438" s="56"/>
      <c r="E438" s="56"/>
      <c r="F438" s="56" t="s">
        <v>149</v>
      </c>
      <c r="G438" s="56"/>
      <c r="H438" s="56"/>
      <c r="I438" s="56"/>
      <c r="J438" s="56" t="s">
        <v>149</v>
      </c>
      <c r="K438" s="38" t="n">
        <f aca="false">SUMPRODUCT(LEN(D438:J438))</f>
        <v>2</v>
      </c>
      <c r="L438" s="37"/>
    </row>
    <row r="440" customFormat="false" ht="19.5" hidden="false" customHeight="true" outlineLevel="0" collapsed="false">
      <c r="B440" s="51" t="str">
        <f aca="false">"TABLEAU 12/12  -  PROGRAMME DE MARS 2028"&amp;IF($C$6="mars 2028","          &lt;&lt;&lt; MOIS ACTUELLEMENT FILTRE","")</f>
        <v>TABLEAU 12/12  -  PROGRAMME DE MARS 2028</v>
      </c>
      <c r="C440" s="51"/>
      <c r="D440" s="51"/>
      <c r="E440" s="51"/>
      <c r="F440" s="51"/>
      <c r="G440" s="51"/>
      <c r="H440" s="51"/>
      <c r="I440" s="51"/>
      <c r="J440" s="51"/>
      <c r="L440" s="52" t="s">
        <v>143</v>
      </c>
    </row>
    <row r="441" customFormat="false" ht="25.5" hidden="false" customHeight="true" outlineLevel="0" collapsed="false">
      <c r="B441" s="53" t="s">
        <v>84</v>
      </c>
      <c r="C441" s="53" t="s">
        <v>144</v>
      </c>
      <c r="D441" s="53" t="s">
        <v>27</v>
      </c>
      <c r="E441" s="53" t="s">
        <v>28</v>
      </c>
      <c r="F441" s="53" t="s">
        <v>29</v>
      </c>
      <c r="G441" s="53" t="s">
        <v>30</v>
      </c>
      <c r="H441" s="53" t="s">
        <v>31</v>
      </c>
      <c r="I441" s="53" t="s">
        <v>32</v>
      </c>
      <c r="J441" s="53" t="s">
        <v>33</v>
      </c>
      <c r="K441" s="53" t="s">
        <v>145</v>
      </c>
      <c r="L441" s="53" t="s">
        <v>146</v>
      </c>
    </row>
    <row r="442" customFormat="false" ht="15" hidden="false" customHeight="false" outlineLevel="0" collapsed="false">
      <c r="B442" s="54" t="s">
        <v>12</v>
      </c>
      <c r="C442" s="55" t="s">
        <v>11</v>
      </c>
      <c r="D442" s="56" t="s">
        <v>147</v>
      </c>
      <c r="E442" s="56" t="s">
        <v>147</v>
      </c>
      <c r="F442" s="56" t="s">
        <v>147</v>
      </c>
      <c r="G442" s="56" t="s">
        <v>147</v>
      </c>
      <c r="H442" s="56" t="s">
        <v>147</v>
      </c>
      <c r="I442" s="56" t="s">
        <v>147</v>
      </c>
      <c r="J442" s="56" t="s">
        <v>147</v>
      </c>
      <c r="K442" s="38" t="n">
        <f aca="false">SUMPRODUCT(LEN(D442:J442))</f>
        <v>7</v>
      </c>
      <c r="L442" s="37" t="n">
        <f aca="false">SUM(K442:K444)</f>
        <v>11</v>
      </c>
    </row>
    <row r="443" customFormat="false" ht="15" hidden="false" customHeight="false" outlineLevel="0" collapsed="false">
      <c r="B443" s="54"/>
      <c r="C443" s="55" t="s">
        <v>19</v>
      </c>
      <c r="D443" s="56" t="s">
        <v>147</v>
      </c>
      <c r="E443" s="56"/>
      <c r="F443" s="56"/>
      <c r="G443" s="56"/>
      <c r="H443" s="56" t="s">
        <v>147</v>
      </c>
      <c r="I443" s="56"/>
      <c r="J443" s="56"/>
      <c r="K443" s="38" t="n">
        <f aca="false">SUMPRODUCT(LEN(D443:J443))</f>
        <v>2</v>
      </c>
      <c r="L443" s="37"/>
    </row>
    <row r="444" customFormat="false" ht="15" hidden="false" customHeight="false" outlineLevel="0" collapsed="false">
      <c r="B444" s="54"/>
      <c r="C444" s="55" t="s">
        <v>24</v>
      </c>
      <c r="D444" s="56" t="s">
        <v>148</v>
      </c>
      <c r="E444" s="56"/>
      <c r="F444" s="56"/>
      <c r="G444" s="56"/>
      <c r="H444" s="56"/>
      <c r="I444" s="56"/>
      <c r="J444" s="56"/>
      <c r="K444" s="38" t="n">
        <f aca="false">SUMPRODUCT(LEN(D444:J444))</f>
        <v>2</v>
      </c>
      <c r="L444" s="37"/>
    </row>
    <row r="445" customFormat="false" ht="15" hidden="false" customHeight="false" outlineLevel="0" collapsed="false">
      <c r="B445" s="57" t="s">
        <v>20</v>
      </c>
      <c r="C445" s="55" t="s">
        <v>11</v>
      </c>
      <c r="D445" s="56"/>
      <c r="E445" s="56"/>
      <c r="F445" s="56"/>
      <c r="G445" s="56"/>
      <c r="H445" s="56"/>
      <c r="I445" s="56"/>
      <c r="J445" s="56" t="s">
        <v>147</v>
      </c>
      <c r="K445" s="38" t="n">
        <f aca="false">SUMPRODUCT(LEN(D445:J445))</f>
        <v>1</v>
      </c>
      <c r="L445" s="37" t="n">
        <f aca="false">SUM(K445:K447)</f>
        <v>3</v>
      </c>
    </row>
    <row r="446" customFormat="false" ht="15" hidden="false" customHeight="false" outlineLevel="0" collapsed="false">
      <c r="B446" s="57"/>
      <c r="C446" s="55" t="s">
        <v>19</v>
      </c>
      <c r="D446" s="56"/>
      <c r="E446" s="56" t="s">
        <v>147</v>
      </c>
      <c r="F446" s="56"/>
      <c r="G446" s="56"/>
      <c r="H446" s="56" t="s">
        <v>147</v>
      </c>
      <c r="I446" s="56"/>
      <c r="J446" s="56"/>
      <c r="K446" s="38" t="n">
        <f aca="false">SUMPRODUCT(LEN(D446:J446))</f>
        <v>2</v>
      </c>
      <c r="L446" s="37"/>
    </row>
    <row r="447" customFormat="false" ht="15" hidden="false" customHeight="false" outlineLevel="0" collapsed="false">
      <c r="B447" s="57"/>
      <c r="C447" s="55" t="s">
        <v>24</v>
      </c>
      <c r="D447" s="56"/>
      <c r="E447" s="56"/>
      <c r="F447" s="56"/>
      <c r="G447" s="56"/>
      <c r="H447" s="56"/>
      <c r="I447" s="56"/>
      <c r="J447" s="56"/>
      <c r="K447" s="38" t="n">
        <f aca="false">SUMPRODUCT(LEN(D447:J447))</f>
        <v>0</v>
      </c>
      <c r="L447" s="37"/>
    </row>
    <row r="448" customFormat="false" ht="15" hidden="false" customHeight="false" outlineLevel="0" collapsed="false">
      <c r="B448" s="58" t="s">
        <v>25</v>
      </c>
      <c r="C448" s="55" t="s">
        <v>11</v>
      </c>
      <c r="D448" s="56"/>
      <c r="E448" s="56"/>
      <c r="F448" s="56"/>
      <c r="G448" s="56"/>
      <c r="H448" s="56"/>
      <c r="I448" s="56"/>
      <c r="J448" s="56"/>
      <c r="K448" s="38" t="n">
        <f aca="false">SUMPRODUCT(LEN(D448:J448))</f>
        <v>0</v>
      </c>
      <c r="L448" s="37" t="n">
        <f aca="false">SUM(K448:K450)</f>
        <v>2</v>
      </c>
    </row>
    <row r="449" customFormat="false" ht="15" hidden="false" customHeight="false" outlineLevel="0" collapsed="false">
      <c r="B449" s="58"/>
      <c r="C449" s="55" t="s">
        <v>19</v>
      </c>
      <c r="D449" s="56"/>
      <c r="E449" s="56"/>
      <c r="F449" s="56" t="s">
        <v>147</v>
      </c>
      <c r="G449" s="56"/>
      <c r="H449" s="56"/>
      <c r="I449" s="56" t="s">
        <v>147</v>
      </c>
      <c r="J449" s="56"/>
      <c r="K449" s="38" t="n">
        <f aca="false">SUMPRODUCT(LEN(D449:J449))</f>
        <v>2</v>
      </c>
      <c r="L449" s="37"/>
    </row>
    <row r="450" customFormat="false" ht="15" hidden="false" customHeight="false" outlineLevel="0" collapsed="false">
      <c r="B450" s="58"/>
      <c r="C450" s="55" t="s">
        <v>24</v>
      </c>
      <c r="D450" s="56"/>
      <c r="E450" s="56"/>
      <c r="F450" s="56"/>
      <c r="G450" s="56"/>
      <c r="H450" s="56"/>
      <c r="I450" s="56"/>
      <c r="J450" s="56"/>
      <c r="K450" s="38" t="n">
        <f aca="false">SUMPRODUCT(LEN(D450:J450))</f>
        <v>0</v>
      </c>
      <c r="L450" s="37"/>
    </row>
    <row r="451" customFormat="false" ht="15" hidden="false" customHeight="false" outlineLevel="0" collapsed="false">
      <c r="B451" s="59" t="s">
        <v>36</v>
      </c>
      <c r="C451" s="55" t="s">
        <v>11</v>
      </c>
      <c r="D451" s="56"/>
      <c r="E451" s="56"/>
      <c r="F451" s="56"/>
      <c r="G451" s="56"/>
      <c r="H451" s="56"/>
      <c r="I451" s="56"/>
      <c r="J451" s="56"/>
      <c r="K451" s="38" t="n">
        <f aca="false">SUMPRODUCT(LEN(D451:J451))</f>
        <v>0</v>
      </c>
      <c r="L451" s="37" t="n">
        <f aca="false">SUM(K451:K453)</f>
        <v>6</v>
      </c>
    </row>
    <row r="452" customFormat="false" ht="15" hidden="false" customHeight="false" outlineLevel="0" collapsed="false">
      <c r="B452" s="59"/>
      <c r="C452" s="55" t="s">
        <v>19</v>
      </c>
      <c r="D452" s="56"/>
      <c r="E452" s="56"/>
      <c r="F452" s="56" t="s">
        <v>149</v>
      </c>
      <c r="G452" s="56"/>
      <c r="H452" s="56"/>
      <c r="I452" s="56"/>
      <c r="J452" s="56"/>
      <c r="K452" s="38" t="n">
        <f aca="false">SUMPRODUCT(LEN(D452:J452))</f>
        <v>1</v>
      </c>
      <c r="L452" s="37"/>
    </row>
    <row r="453" customFormat="false" ht="15" hidden="false" customHeight="false" outlineLevel="0" collapsed="false">
      <c r="B453" s="59"/>
      <c r="C453" s="55" t="s">
        <v>24</v>
      </c>
      <c r="D453" s="56" t="s">
        <v>149</v>
      </c>
      <c r="E453" s="56" t="s">
        <v>149</v>
      </c>
      <c r="F453" s="56" t="s">
        <v>149</v>
      </c>
      <c r="G453" s="56" t="s">
        <v>149</v>
      </c>
      <c r="H453" s="56" t="s">
        <v>149</v>
      </c>
      <c r="I453" s="56"/>
      <c r="J453" s="56"/>
      <c r="K453" s="38" t="n">
        <f aca="false">SUMPRODUCT(LEN(D453:J453))</f>
        <v>5</v>
      </c>
      <c r="L453" s="37"/>
    </row>
    <row r="454" customFormat="false" ht="15" hidden="false" customHeight="false" outlineLevel="0" collapsed="false">
      <c r="B454" s="60" t="s">
        <v>40</v>
      </c>
      <c r="C454" s="55" t="s">
        <v>11</v>
      </c>
      <c r="D454" s="56"/>
      <c r="E454" s="56"/>
      <c r="F454" s="56"/>
      <c r="G454" s="56"/>
      <c r="H454" s="56"/>
      <c r="I454" s="56"/>
      <c r="J454" s="56"/>
      <c r="K454" s="38" t="n">
        <f aca="false">SUMPRODUCT(LEN(D454:J454))</f>
        <v>0</v>
      </c>
      <c r="L454" s="37" t="n">
        <f aca="false">SUM(K454:K456)</f>
        <v>4</v>
      </c>
    </row>
    <row r="455" customFormat="false" ht="15" hidden="false" customHeight="false" outlineLevel="0" collapsed="false">
      <c r="B455" s="60"/>
      <c r="C455" s="55" t="s">
        <v>19</v>
      </c>
      <c r="D455" s="56"/>
      <c r="E455" s="56"/>
      <c r="F455" s="56"/>
      <c r="G455" s="56"/>
      <c r="H455" s="56"/>
      <c r="I455" s="56"/>
      <c r="J455" s="56"/>
      <c r="K455" s="38" t="n">
        <f aca="false">SUMPRODUCT(LEN(D455:J455))</f>
        <v>0</v>
      </c>
      <c r="L455" s="37"/>
    </row>
    <row r="456" customFormat="false" ht="15" hidden="false" customHeight="false" outlineLevel="0" collapsed="false">
      <c r="B456" s="60"/>
      <c r="C456" s="55" t="s">
        <v>24</v>
      </c>
      <c r="D456" s="56" t="s">
        <v>149</v>
      </c>
      <c r="E456" s="56"/>
      <c r="F456" s="56" t="s">
        <v>149</v>
      </c>
      <c r="G456" s="56"/>
      <c r="H456" s="56" t="s">
        <v>149</v>
      </c>
      <c r="I456" s="56"/>
      <c r="J456" s="56" t="s">
        <v>149</v>
      </c>
      <c r="K456" s="38" t="n">
        <f aca="false">SUMPRODUCT(LEN(D456:J456))</f>
        <v>4</v>
      </c>
      <c r="L456" s="37"/>
    </row>
    <row r="457" customFormat="false" ht="15" hidden="false" customHeight="false" outlineLevel="0" collapsed="false">
      <c r="B457" s="61" t="s">
        <v>14</v>
      </c>
      <c r="C457" s="55" t="s">
        <v>11</v>
      </c>
      <c r="D457" s="56"/>
      <c r="E457" s="56"/>
      <c r="F457" s="56"/>
      <c r="G457" s="56"/>
      <c r="H457" s="56"/>
      <c r="I457" s="56"/>
      <c r="J457" s="56"/>
      <c r="K457" s="38" t="n">
        <f aca="false">SUMPRODUCT(LEN(D457:J457))</f>
        <v>0</v>
      </c>
      <c r="L457" s="37" t="n">
        <f aca="false">SUM(K457:K459)</f>
        <v>3</v>
      </c>
    </row>
    <row r="458" customFormat="false" ht="15" hidden="false" customHeight="false" outlineLevel="0" collapsed="false">
      <c r="B458" s="61"/>
      <c r="C458" s="55" t="s">
        <v>19</v>
      </c>
      <c r="D458" s="56"/>
      <c r="E458" s="56"/>
      <c r="F458" s="56"/>
      <c r="G458" s="56"/>
      <c r="H458" s="56"/>
      <c r="I458" s="56"/>
      <c r="J458" s="56"/>
      <c r="K458" s="38" t="n">
        <f aca="false">SUMPRODUCT(LEN(D458:J458))</f>
        <v>0</v>
      </c>
      <c r="L458" s="37"/>
    </row>
    <row r="459" customFormat="false" ht="15" hidden="false" customHeight="false" outlineLevel="0" collapsed="false">
      <c r="B459" s="61"/>
      <c r="C459" s="55" t="s">
        <v>24</v>
      </c>
      <c r="D459" s="56" t="s">
        <v>149</v>
      </c>
      <c r="E459" s="56"/>
      <c r="F459" s="56"/>
      <c r="G459" s="56" t="s">
        <v>149</v>
      </c>
      <c r="H459" s="56"/>
      <c r="I459" s="56" t="s">
        <v>149</v>
      </c>
      <c r="J459" s="56"/>
      <c r="K459" s="38" t="n">
        <f aca="false">SUMPRODUCT(LEN(D459:J459))</f>
        <v>3</v>
      </c>
      <c r="L459" s="37"/>
    </row>
    <row r="460" customFormat="false" ht="15" hidden="false" customHeight="false" outlineLevel="0" collapsed="false">
      <c r="B460" s="62" t="s">
        <v>46</v>
      </c>
      <c r="C460" s="55" t="s">
        <v>11</v>
      </c>
      <c r="D460" s="56"/>
      <c r="E460" s="56"/>
      <c r="F460" s="56"/>
      <c r="G460" s="56"/>
      <c r="H460" s="56"/>
      <c r="I460" s="56"/>
      <c r="J460" s="56"/>
      <c r="K460" s="38" t="n">
        <f aca="false">SUMPRODUCT(LEN(D460:J460))</f>
        <v>0</v>
      </c>
      <c r="L460" s="37" t="n">
        <f aca="false">SUM(K460:K462)</f>
        <v>3</v>
      </c>
    </row>
    <row r="461" customFormat="false" ht="15" hidden="false" customHeight="false" outlineLevel="0" collapsed="false">
      <c r="B461" s="62"/>
      <c r="C461" s="55" t="s">
        <v>19</v>
      </c>
      <c r="D461" s="56"/>
      <c r="E461" s="56"/>
      <c r="F461" s="56"/>
      <c r="G461" s="56"/>
      <c r="H461" s="56"/>
      <c r="I461" s="56"/>
      <c r="J461" s="56"/>
      <c r="K461" s="38" t="n">
        <f aca="false">SUMPRODUCT(LEN(D461:J461))</f>
        <v>0</v>
      </c>
      <c r="L461" s="37"/>
    </row>
    <row r="462" customFormat="false" ht="15" hidden="false" customHeight="false" outlineLevel="0" collapsed="false">
      <c r="B462" s="62"/>
      <c r="C462" s="55" t="s">
        <v>24</v>
      </c>
      <c r="D462" s="56"/>
      <c r="E462" s="56" t="s">
        <v>149</v>
      </c>
      <c r="F462" s="56"/>
      <c r="G462" s="56" t="s">
        <v>149</v>
      </c>
      <c r="H462" s="56"/>
      <c r="I462" s="56" t="s">
        <v>149</v>
      </c>
      <c r="J462" s="56"/>
      <c r="K462" s="38" t="n">
        <f aca="false">SUMPRODUCT(LEN(D462:J462))</f>
        <v>3</v>
      </c>
      <c r="L462" s="37"/>
    </row>
    <row r="463" customFormat="false" ht="15" hidden="false" customHeight="false" outlineLevel="0" collapsed="false">
      <c r="B463" s="63" t="s">
        <v>49</v>
      </c>
      <c r="C463" s="55" t="s">
        <v>11</v>
      </c>
      <c r="D463" s="56"/>
      <c r="E463" s="56"/>
      <c r="F463" s="56"/>
      <c r="G463" s="56"/>
      <c r="H463" s="56"/>
      <c r="I463" s="56"/>
      <c r="J463" s="56"/>
      <c r="K463" s="38" t="n">
        <f aca="false">SUMPRODUCT(LEN(D463:J463))</f>
        <v>0</v>
      </c>
      <c r="L463" s="37" t="n">
        <f aca="false">SUM(K463:K465)</f>
        <v>2</v>
      </c>
    </row>
    <row r="464" customFormat="false" ht="15" hidden="false" customHeight="false" outlineLevel="0" collapsed="false">
      <c r="B464" s="63"/>
      <c r="C464" s="55" t="s">
        <v>19</v>
      </c>
      <c r="D464" s="56" t="s">
        <v>149</v>
      </c>
      <c r="E464" s="56"/>
      <c r="F464" s="56"/>
      <c r="G464" s="56"/>
      <c r="H464" s="56" t="s">
        <v>149</v>
      </c>
      <c r="I464" s="56"/>
      <c r="J464" s="56"/>
      <c r="K464" s="38" t="n">
        <f aca="false">SUMPRODUCT(LEN(D464:J464))</f>
        <v>2</v>
      </c>
      <c r="L464" s="37"/>
    </row>
    <row r="465" customFormat="false" ht="15" hidden="false" customHeight="false" outlineLevel="0" collapsed="false">
      <c r="B465" s="63"/>
      <c r="C465" s="55" t="s">
        <v>24</v>
      </c>
      <c r="D465" s="56"/>
      <c r="E465" s="56"/>
      <c r="F465" s="56"/>
      <c r="G465" s="56"/>
      <c r="H465" s="56"/>
      <c r="I465" s="56"/>
      <c r="J465" s="56"/>
      <c r="K465" s="38" t="n">
        <f aca="false">SUMPRODUCT(LEN(D465:J465))</f>
        <v>0</v>
      </c>
      <c r="L465" s="37"/>
    </row>
    <row r="466" customFormat="false" ht="15" hidden="false" customHeight="false" outlineLevel="0" collapsed="false">
      <c r="B466" s="64" t="s">
        <v>53</v>
      </c>
      <c r="C466" s="55" t="s">
        <v>11</v>
      </c>
      <c r="D466" s="56"/>
      <c r="E466" s="56"/>
      <c r="F466" s="56"/>
      <c r="G466" s="56"/>
      <c r="H466" s="56"/>
      <c r="I466" s="56"/>
      <c r="J466" s="56"/>
      <c r="K466" s="38" t="n">
        <f aca="false">SUMPRODUCT(LEN(D466:J466))</f>
        <v>0</v>
      </c>
      <c r="L466" s="37" t="n">
        <f aca="false">SUM(K466:K468)</f>
        <v>1</v>
      </c>
    </row>
    <row r="467" customFormat="false" ht="15" hidden="false" customHeight="false" outlineLevel="0" collapsed="false">
      <c r="B467" s="64"/>
      <c r="C467" s="55" t="s">
        <v>19</v>
      </c>
      <c r="D467" s="56"/>
      <c r="E467" s="56"/>
      <c r="F467" s="56"/>
      <c r="G467" s="56" t="s">
        <v>149</v>
      </c>
      <c r="H467" s="56"/>
      <c r="I467" s="56"/>
      <c r="J467" s="56"/>
      <c r="K467" s="38" t="n">
        <f aca="false">SUMPRODUCT(LEN(D467:J467))</f>
        <v>1</v>
      </c>
      <c r="L467" s="37"/>
    </row>
    <row r="468" customFormat="false" ht="15" hidden="false" customHeight="false" outlineLevel="0" collapsed="false">
      <c r="B468" s="64"/>
      <c r="C468" s="55" t="s">
        <v>24</v>
      </c>
      <c r="D468" s="56"/>
      <c r="E468" s="56"/>
      <c r="F468" s="56"/>
      <c r="G468" s="56"/>
      <c r="H468" s="56"/>
      <c r="I468" s="56"/>
      <c r="J468" s="56"/>
      <c r="K468" s="38" t="n">
        <f aca="false">SUMPRODUCT(LEN(D468:J468))</f>
        <v>0</v>
      </c>
      <c r="L468" s="37"/>
    </row>
    <row r="469" customFormat="false" ht="15" hidden="false" customHeight="false" outlineLevel="0" collapsed="false">
      <c r="B469" s="65" t="s">
        <v>56</v>
      </c>
      <c r="C469" s="55" t="s">
        <v>11</v>
      </c>
      <c r="D469" s="56"/>
      <c r="E469" s="56"/>
      <c r="F469" s="56"/>
      <c r="G469" s="56"/>
      <c r="H469" s="56"/>
      <c r="I469" s="56"/>
      <c r="J469" s="56"/>
      <c r="K469" s="38" t="n">
        <f aca="false">SUMPRODUCT(LEN(D469:J469))</f>
        <v>0</v>
      </c>
      <c r="L469" s="37" t="n">
        <f aca="false">SUM(K469:K471)</f>
        <v>2</v>
      </c>
    </row>
    <row r="470" customFormat="false" ht="15" hidden="false" customHeight="false" outlineLevel="0" collapsed="false">
      <c r="B470" s="65"/>
      <c r="C470" s="55" t="s">
        <v>19</v>
      </c>
      <c r="D470" s="56"/>
      <c r="E470" s="56"/>
      <c r="F470" s="56"/>
      <c r="G470" s="56"/>
      <c r="H470" s="56"/>
      <c r="I470" s="56"/>
      <c r="J470" s="56"/>
      <c r="K470" s="38" t="n">
        <f aca="false">SUMPRODUCT(LEN(D470:J470))</f>
        <v>0</v>
      </c>
      <c r="L470" s="37"/>
    </row>
    <row r="471" customFormat="false" ht="15" hidden="false" customHeight="false" outlineLevel="0" collapsed="false">
      <c r="B471" s="65"/>
      <c r="C471" s="55" t="s">
        <v>24</v>
      </c>
      <c r="D471" s="56"/>
      <c r="E471" s="56" t="s">
        <v>149</v>
      </c>
      <c r="F471" s="56"/>
      <c r="G471" s="56"/>
      <c r="H471" s="56"/>
      <c r="I471" s="56" t="s">
        <v>149</v>
      </c>
      <c r="J471" s="56"/>
      <c r="K471" s="38" t="n">
        <f aca="false">SUMPRODUCT(LEN(D471:J471))</f>
        <v>2</v>
      </c>
      <c r="L471" s="37"/>
    </row>
    <row r="472" customFormat="false" ht="15" hidden="false" customHeight="false" outlineLevel="0" collapsed="false">
      <c r="B472" s="66" t="s">
        <v>59</v>
      </c>
      <c r="C472" s="55" t="s">
        <v>11</v>
      </c>
      <c r="D472" s="56"/>
      <c r="E472" s="56"/>
      <c r="F472" s="56"/>
      <c r="G472" s="56"/>
      <c r="H472" s="56"/>
      <c r="I472" s="56"/>
      <c r="J472" s="56"/>
      <c r="K472" s="38" t="n">
        <f aca="false">SUMPRODUCT(LEN(D472:J472))</f>
        <v>0</v>
      </c>
      <c r="L472" s="37" t="n">
        <f aca="false">SUM(K472:K474)</f>
        <v>7</v>
      </c>
    </row>
    <row r="473" customFormat="false" ht="15" hidden="false" customHeight="false" outlineLevel="0" collapsed="false">
      <c r="B473" s="66"/>
      <c r="C473" s="55" t="s">
        <v>19</v>
      </c>
      <c r="D473" s="56"/>
      <c r="E473" s="56"/>
      <c r="F473" s="56"/>
      <c r="G473" s="56"/>
      <c r="H473" s="56"/>
      <c r="I473" s="56"/>
      <c r="J473" s="56"/>
      <c r="K473" s="38" t="n">
        <f aca="false">SUMPRODUCT(LEN(D473:J473))</f>
        <v>0</v>
      </c>
      <c r="L473" s="37"/>
    </row>
    <row r="474" customFormat="false" ht="15" hidden="false" customHeight="false" outlineLevel="0" collapsed="false">
      <c r="B474" s="66"/>
      <c r="C474" s="55" t="s">
        <v>24</v>
      </c>
      <c r="D474" s="56" t="s">
        <v>149</v>
      </c>
      <c r="E474" s="56" t="s">
        <v>149</v>
      </c>
      <c r="F474" s="56" t="s">
        <v>149</v>
      </c>
      <c r="G474" s="56" t="s">
        <v>150</v>
      </c>
      <c r="H474" s="56" t="s">
        <v>149</v>
      </c>
      <c r="I474" s="56" t="s">
        <v>149</v>
      </c>
      <c r="J474" s="56"/>
      <c r="K474" s="38" t="n">
        <f aca="false">SUMPRODUCT(LEN(D474:J474))</f>
        <v>7</v>
      </c>
      <c r="L474" s="37"/>
    </row>
    <row r="475" customFormat="false" ht="15" hidden="false" customHeight="false" outlineLevel="0" collapsed="false">
      <c r="B475" s="67" t="s">
        <v>62</v>
      </c>
      <c r="C475" s="55" t="s">
        <v>11</v>
      </c>
      <c r="D475" s="56"/>
      <c r="E475" s="56"/>
      <c r="F475" s="56"/>
      <c r="G475" s="56"/>
      <c r="H475" s="56"/>
      <c r="I475" s="56"/>
      <c r="J475" s="56"/>
      <c r="K475" s="38" t="n">
        <f aca="false">SUMPRODUCT(LEN(D475:J475))</f>
        <v>0</v>
      </c>
      <c r="L475" s="37" t="n">
        <f aca="false">SUM(K475:K477)</f>
        <v>2</v>
      </c>
    </row>
    <row r="476" customFormat="false" ht="15" hidden="false" customHeight="false" outlineLevel="0" collapsed="false">
      <c r="B476" s="67"/>
      <c r="C476" s="55" t="s">
        <v>19</v>
      </c>
      <c r="D476" s="56"/>
      <c r="E476" s="56"/>
      <c r="F476" s="56"/>
      <c r="G476" s="56"/>
      <c r="H476" s="56"/>
      <c r="I476" s="56"/>
      <c r="J476" s="56"/>
      <c r="K476" s="38" t="n">
        <f aca="false">SUMPRODUCT(LEN(D476:J476))</f>
        <v>0</v>
      </c>
      <c r="L476" s="37"/>
    </row>
    <row r="477" customFormat="false" ht="15" hidden="false" customHeight="false" outlineLevel="0" collapsed="false">
      <c r="B477" s="67"/>
      <c r="C477" s="55" t="s">
        <v>24</v>
      </c>
      <c r="D477" s="56"/>
      <c r="E477" s="56"/>
      <c r="F477" s="56" t="s">
        <v>149</v>
      </c>
      <c r="G477" s="56"/>
      <c r="H477" s="56"/>
      <c r="I477" s="56"/>
      <c r="J477" s="56" t="s">
        <v>149</v>
      </c>
      <c r="K477" s="38" t="n">
        <f aca="false">SUMPRODUCT(LEN(D477:J477))</f>
        <v>2</v>
      </c>
      <c r="L477" s="37"/>
    </row>
  </sheetData>
  <mergeCells count="303">
    <mergeCell ref="B1:L1"/>
    <mergeCell ref="B2:L4"/>
    <mergeCell ref="C6:D6"/>
    <mergeCell ref="B11:J11"/>
    <mergeCell ref="B13:B15"/>
    <mergeCell ref="L13:L15"/>
    <mergeCell ref="B16:B18"/>
    <mergeCell ref="L16:L18"/>
    <mergeCell ref="B19:B21"/>
    <mergeCell ref="L19:L21"/>
    <mergeCell ref="B22:B24"/>
    <mergeCell ref="L22:L24"/>
    <mergeCell ref="B25:B27"/>
    <mergeCell ref="L25:L27"/>
    <mergeCell ref="B28:B30"/>
    <mergeCell ref="L28:L30"/>
    <mergeCell ref="B31:B33"/>
    <mergeCell ref="L31:L33"/>
    <mergeCell ref="B34:B36"/>
    <mergeCell ref="L34:L36"/>
    <mergeCell ref="B37:B39"/>
    <mergeCell ref="L37:L39"/>
    <mergeCell ref="B40:B42"/>
    <mergeCell ref="L40:L42"/>
    <mergeCell ref="B43:B45"/>
    <mergeCell ref="L43:L45"/>
    <mergeCell ref="B46:B48"/>
    <mergeCell ref="L46:L48"/>
    <mergeCell ref="B50:J50"/>
    <mergeCell ref="B52:B54"/>
    <mergeCell ref="L52:L54"/>
    <mergeCell ref="B55:B57"/>
    <mergeCell ref="L55:L57"/>
    <mergeCell ref="B58:B60"/>
    <mergeCell ref="L58:L60"/>
    <mergeCell ref="B61:B63"/>
    <mergeCell ref="L61:L63"/>
    <mergeCell ref="B64:B66"/>
    <mergeCell ref="L64:L66"/>
    <mergeCell ref="B67:B69"/>
    <mergeCell ref="L67:L69"/>
    <mergeCell ref="B70:B72"/>
    <mergeCell ref="L70:L72"/>
    <mergeCell ref="B73:B75"/>
    <mergeCell ref="L73:L75"/>
    <mergeCell ref="B76:B78"/>
    <mergeCell ref="L76:L78"/>
    <mergeCell ref="B79:B81"/>
    <mergeCell ref="L79:L81"/>
    <mergeCell ref="B82:B84"/>
    <mergeCell ref="L82:L84"/>
    <mergeCell ref="B85:B87"/>
    <mergeCell ref="L85:L87"/>
    <mergeCell ref="B89:J89"/>
    <mergeCell ref="B91:B93"/>
    <mergeCell ref="L91:L93"/>
    <mergeCell ref="B94:B96"/>
    <mergeCell ref="L94:L96"/>
    <mergeCell ref="B97:B99"/>
    <mergeCell ref="L97:L99"/>
    <mergeCell ref="B100:B102"/>
    <mergeCell ref="L100:L102"/>
    <mergeCell ref="B103:B105"/>
    <mergeCell ref="L103:L105"/>
    <mergeCell ref="B106:B108"/>
    <mergeCell ref="L106:L108"/>
    <mergeCell ref="B109:B111"/>
    <mergeCell ref="L109:L111"/>
    <mergeCell ref="B112:B114"/>
    <mergeCell ref="L112:L114"/>
    <mergeCell ref="B115:B117"/>
    <mergeCell ref="L115:L117"/>
    <mergeCell ref="B118:B120"/>
    <mergeCell ref="L118:L120"/>
    <mergeCell ref="B121:B123"/>
    <mergeCell ref="L121:L123"/>
    <mergeCell ref="B124:B126"/>
    <mergeCell ref="L124:L126"/>
    <mergeCell ref="B128:J128"/>
    <mergeCell ref="B130:B132"/>
    <mergeCell ref="L130:L132"/>
    <mergeCell ref="B133:B135"/>
    <mergeCell ref="L133:L135"/>
    <mergeCell ref="B136:B138"/>
    <mergeCell ref="L136:L138"/>
    <mergeCell ref="B139:B141"/>
    <mergeCell ref="L139:L141"/>
    <mergeCell ref="B142:B144"/>
    <mergeCell ref="L142:L144"/>
    <mergeCell ref="B145:B147"/>
    <mergeCell ref="L145:L147"/>
    <mergeCell ref="B148:B150"/>
    <mergeCell ref="L148:L150"/>
    <mergeCell ref="B151:B153"/>
    <mergeCell ref="L151:L153"/>
    <mergeCell ref="B154:B156"/>
    <mergeCell ref="L154:L156"/>
    <mergeCell ref="B157:B159"/>
    <mergeCell ref="L157:L159"/>
    <mergeCell ref="B160:B162"/>
    <mergeCell ref="L160:L162"/>
    <mergeCell ref="B163:B165"/>
    <mergeCell ref="L163:L165"/>
    <mergeCell ref="B167:J167"/>
    <mergeCell ref="B169:B171"/>
    <mergeCell ref="L169:L171"/>
    <mergeCell ref="B172:B174"/>
    <mergeCell ref="L172:L174"/>
    <mergeCell ref="B175:B177"/>
    <mergeCell ref="L175:L177"/>
    <mergeCell ref="B178:B180"/>
    <mergeCell ref="L178:L180"/>
    <mergeCell ref="B181:B183"/>
    <mergeCell ref="L181:L183"/>
    <mergeCell ref="B184:B186"/>
    <mergeCell ref="L184:L186"/>
    <mergeCell ref="B187:B189"/>
    <mergeCell ref="L187:L189"/>
    <mergeCell ref="B190:B192"/>
    <mergeCell ref="L190:L192"/>
    <mergeCell ref="B193:B195"/>
    <mergeCell ref="L193:L195"/>
    <mergeCell ref="B196:B198"/>
    <mergeCell ref="L196:L198"/>
    <mergeCell ref="B199:B201"/>
    <mergeCell ref="L199:L201"/>
    <mergeCell ref="B202:B204"/>
    <mergeCell ref="L202:L204"/>
    <mergeCell ref="B206:J206"/>
    <mergeCell ref="B208:B210"/>
    <mergeCell ref="L208:L210"/>
    <mergeCell ref="B211:B213"/>
    <mergeCell ref="L211:L213"/>
    <mergeCell ref="B214:B216"/>
    <mergeCell ref="L214:L216"/>
    <mergeCell ref="B217:B219"/>
    <mergeCell ref="L217:L219"/>
    <mergeCell ref="B220:B222"/>
    <mergeCell ref="L220:L222"/>
    <mergeCell ref="B223:B225"/>
    <mergeCell ref="L223:L225"/>
    <mergeCell ref="B226:B228"/>
    <mergeCell ref="L226:L228"/>
    <mergeCell ref="B229:B231"/>
    <mergeCell ref="L229:L231"/>
    <mergeCell ref="B232:B234"/>
    <mergeCell ref="L232:L234"/>
    <mergeCell ref="B235:B237"/>
    <mergeCell ref="L235:L237"/>
    <mergeCell ref="B238:B240"/>
    <mergeCell ref="L238:L240"/>
    <mergeCell ref="B241:B243"/>
    <mergeCell ref="L241:L243"/>
    <mergeCell ref="B245:J245"/>
    <mergeCell ref="B247:B249"/>
    <mergeCell ref="L247:L249"/>
    <mergeCell ref="B250:B252"/>
    <mergeCell ref="L250:L252"/>
    <mergeCell ref="B253:B255"/>
    <mergeCell ref="L253:L255"/>
    <mergeCell ref="B256:B258"/>
    <mergeCell ref="L256:L258"/>
    <mergeCell ref="B259:B261"/>
    <mergeCell ref="L259:L261"/>
    <mergeCell ref="B262:B264"/>
    <mergeCell ref="L262:L264"/>
    <mergeCell ref="B265:B267"/>
    <mergeCell ref="L265:L267"/>
    <mergeCell ref="B268:B270"/>
    <mergeCell ref="L268:L270"/>
    <mergeCell ref="B271:B273"/>
    <mergeCell ref="L271:L273"/>
    <mergeCell ref="B274:B276"/>
    <mergeCell ref="L274:L276"/>
    <mergeCell ref="B277:B279"/>
    <mergeCell ref="L277:L279"/>
    <mergeCell ref="B280:B282"/>
    <mergeCell ref="L280:L282"/>
    <mergeCell ref="B284:J284"/>
    <mergeCell ref="B286:B288"/>
    <mergeCell ref="L286:L288"/>
    <mergeCell ref="B289:B291"/>
    <mergeCell ref="L289:L291"/>
    <mergeCell ref="B292:B294"/>
    <mergeCell ref="L292:L294"/>
    <mergeCell ref="B295:B297"/>
    <mergeCell ref="L295:L297"/>
    <mergeCell ref="B298:B300"/>
    <mergeCell ref="L298:L300"/>
    <mergeCell ref="B301:B303"/>
    <mergeCell ref="L301:L303"/>
    <mergeCell ref="B304:B306"/>
    <mergeCell ref="L304:L306"/>
    <mergeCell ref="B307:B309"/>
    <mergeCell ref="L307:L309"/>
    <mergeCell ref="B310:B312"/>
    <mergeCell ref="L310:L312"/>
    <mergeCell ref="B313:B315"/>
    <mergeCell ref="L313:L315"/>
    <mergeCell ref="B316:B318"/>
    <mergeCell ref="L316:L318"/>
    <mergeCell ref="B319:B321"/>
    <mergeCell ref="L319:L321"/>
    <mergeCell ref="B323:J323"/>
    <mergeCell ref="B325:B327"/>
    <mergeCell ref="L325:L327"/>
    <mergeCell ref="B328:B330"/>
    <mergeCell ref="L328:L330"/>
    <mergeCell ref="B331:B333"/>
    <mergeCell ref="L331:L333"/>
    <mergeCell ref="B334:B336"/>
    <mergeCell ref="L334:L336"/>
    <mergeCell ref="B337:B339"/>
    <mergeCell ref="L337:L339"/>
    <mergeCell ref="B340:B342"/>
    <mergeCell ref="L340:L342"/>
    <mergeCell ref="B343:B345"/>
    <mergeCell ref="L343:L345"/>
    <mergeCell ref="B346:B348"/>
    <mergeCell ref="L346:L348"/>
    <mergeCell ref="B349:B351"/>
    <mergeCell ref="L349:L351"/>
    <mergeCell ref="B352:B354"/>
    <mergeCell ref="L352:L354"/>
    <mergeCell ref="B355:B357"/>
    <mergeCell ref="L355:L357"/>
    <mergeCell ref="B358:B360"/>
    <mergeCell ref="L358:L360"/>
    <mergeCell ref="B362:J362"/>
    <mergeCell ref="B364:B366"/>
    <mergeCell ref="L364:L366"/>
    <mergeCell ref="B367:B369"/>
    <mergeCell ref="L367:L369"/>
    <mergeCell ref="B370:B372"/>
    <mergeCell ref="L370:L372"/>
    <mergeCell ref="B373:B375"/>
    <mergeCell ref="L373:L375"/>
    <mergeCell ref="B376:B378"/>
    <mergeCell ref="L376:L378"/>
    <mergeCell ref="B379:B381"/>
    <mergeCell ref="L379:L381"/>
    <mergeCell ref="B382:B384"/>
    <mergeCell ref="L382:L384"/>
    <mergeCell ref="B385:B387"/>
    <mergeCell ref="L385:L387"/>
    <mergeCell ref="B388:B390"/>
    <mergeCell ref="L388:L390"/>
    <mergeCell ref="B391:B393"/>
    <mergeCell ref="L391:L393"/>
    <mergeCell ref="B394:B396"/>
    <mergeCell ref="L394:L396"/>
    <mergeCell ref="B397:B399"/>
    <mergeCell ref="L397:L399"/>
    <mergeCell ref="B401:J401"/>
    <mergeCell ref="B403:B405"/>
    <mergeCell ref="L403:L405"/>
    <mergeCell ref="B406:B408"/>
    <mergeCell ref="L406:L408"/>
    <mergeCell ref="B409:B411"/>
    <mergeCell ref="L409:L411"/>
    <mergeCell ref="B412:B414"/>
    <mergeCell ref="L412:L414"/>
    <mergeCell ref="B415:B417"/>
    <mergeCell ref="L415:L417"/>
    <mergeCell ref="B418:B420"/>
    <mergeCell ref="L418:L420"/>
    <mergeCell ref="B421:B423"/>
    <mergeCell ref="L421:L423"/>
    <mergeCell ref="B424:B426"/>
    <mergeCell ref="L424:L426"/>
    <mergeCell ref="B427:B429"/>
    <mergeCell ref="L427:L429"/>
    <mergeCell ref="B430:B432"/>
    <mergeCell ref="L430:L432"/>
    <mergeCell ref="B433:B435"/>
    <mergeCell ref="L433:L435"/>
    <mergeCell ref="B436:B438"/>
    <mergeCell ref="L436:L438"/>
    <mergeCell ref="B440:J440"/>
    <mergeCell ref="B442:B444"/>
    <mergeCell ref="L442:L444"/>
    <mergeCell ref="B445:B447"/>
    <mergeCell ref="L445:L447"/>
    <mergeCell ref="B448:B450"/>
    <mergeCell ref="L448:L450"/>
    <mergeCell ref="B451:B453"/>
    <mergeCell ref="L451:L453"/>
    <mergeCell ref="B454:B456"/>
    <mergeCell ref="L454:L456"/>
    <mergeCell ref="B457:B459"/>
    <mergeCell ref="L457:L459"/>
    <mergeCell ref="B460:B462"/>
    <mergeCell ref="L460:L462"/>
    <mergeCell ref="B463:B465"/>
    <mergeCell ref="L463:L465"/>
    <mergeCell ref="B466:B468"/>
    <mergeCell ref="L466:L468"/>
    <mergeCell ref="B469:B471"/>
    <mergeCell ref="L469:L471"/>
    <mergeCell ref="B472:B474"/>
    <mergeCell ref="L472:L474"/>
    <mergeCell ref="B475:B477"/>
    <mergeCell ref="L475:L477"/>
  </mergeCells>
  <conditionalFormatting sqref="D13:J48 D52:J87 D91:J126 D130:J165 D169:J204 D208:J243 D247:J282 D286:J321 D325:J360 D364:J399 D403:J438 D442:J477">
    <cfRule type="expression" priority="2" aboveAverage="0" equalAverage="0" bottom="0" percent="0" rank="0" text="" dxfId="13">
      <formula>LEN(D13)&gt;1</formula>
    </cfRule>
    <cfRule type="expression" priority="3" aboveAverage="0" equalAverage="0" bottom="0" percent="0" rank="0" text="" dxfId="14">
      <formula>D13&lt;&gt;""</formula>
    </cfRule>
  </conditionalFormatting>
  <conditionalFormatting sqref="B11:L11">
    <cfRule type="expression" priority="4" aboveAverage="0" equalAverage="0" bottom="0" percent="0" rank="0" text="" dxfId="15">
      <formula>$C$6="avril 2027"</formula>
    </cfRule>
  </conditionalFormatting>
  <conditionalFormatting sqref="B50:L50">
    <cfRule type="expression" priority="5" aboveAverage="0" equalAverage="0" bottom="0" percent="0" rank="0" text="" dxfId="15">
      <formula>$C$6="mai 2027"</formula>
    </cfRule>
  </conditionalFormatting>
  <conditionalFormatting sqref="B89:L89">
    <cfRule type="expression" priority="6" aboveAverage="0" equalAverage="0" bottom="0" percent="0" rank="0" text="" dxfId="15">
      <formula>$C$6="juin 2027"</formula>
    </cfRule>
  </conditionalFormatting>
  <conditionalFormatting sqref="B128:L128">
    <cfRule type="expression" priority="7" aboveAverage="0" equalAverage="0" bottom="0" percent="0" rank="0" text="" dxfId="15">
      <formula>$C$6="juillet 2027"</formula>
    </cfRule>
  </conditionalFormatting>
  <conditionalFormatting sqref="B167:L167">
    <cfRule type="expression" priority="8" aboveAverage="0" equalAverage="0" bottom="0" percent="0" rank="0" text="" dxfId="15">
      <formula>$C$6="aout 2027"</formula>
    </cfRule>
  </conditionalFormatting>
  <conditionalFormatting sqref="B206:L206">
    <cfRule type="expression" priority="9" aboveAverage="0" equalAverage="0" bottom="0" percent="0" rank="0" text="" dxfId="15">
      <formula>$C$6="septembre 2027"</formula>
    </cfRule>
  </conditionalFormatting>
  <conditionalFormatting sqref="B245:L245">
    <cfRule type="expression" priority="10" aboveAverage="0" equalAverage="0" bottom="0" percent="0" rank="0" text="" dxfId="15">
      <formula>$C$6="octobre 2027"</formula>
    </cfRule>
  </conditionalFormatting>
  <conditionalFormatting sqref="B284:L284">
    <cfRule type="expression" priority="11" aboveAverage="0" equalAverage="0" bottom="0" percent="0" rank="0" text="" dxfId="15">
      <formula>$C$6="novembre 2027"</formula>
    </cfRule>
  </conditionalFormatting>
  <conditionalFormatting sqref="B323:L323">
    <cfRule type="expression" priority="12" aboveAverage="0" equalAverage="0" bottom="0" percent="0" rank="0" text="" dxfId="15">
      <formula>$C$6="decembre 2027"</formula>
    </cfRule>
  </conditionalFormatting>
  <conditionalFormatting sqref="B362:L362">
    <cfRule type="expression" priority="13" aboveAverage="0" equalAverage="0" bottom="0" percent="0" rank="0" text="" dxfId="15">
      <formula>$C$6="janvier 2028"</formula>
    </cfRule>
  </conditionalFormatting>
  <conditionalFormatting sqref="B401:L401">
    <cfRule type="expression" priority="14" aboveAverage="0" equalAverage="0" bottom="0" percent="0" rank="0" text="" dxfId="15">
      <formula>$C$6="fevrier 2028"</formula>
    </cfRule>
  </conditionalFormatting>
  <conditionalFormatting sqref="B440:L440">
    <cfRule type="expression" priority="15" aboveAverage="0" equalAverage="0" bottom="0" percent="0" rank="0" text="" dxfId="15">
      <formula>$C$6="mars 2028"</formula>
    </cfRule>
  </conditionalFormatting>
  <dataValidations count="1">
    <dataValidation allowBlank="true" error="Un caractere par rotation : 0 (ou x) = retour le jour meme, 1 = J+1, 2 = J+2, 3 = J+3.&#10;Exemples : 0 | 1 | 01 | 00. Maximum 4 rotations par jour et par type." errorStyle="stop" errorTitle="Code de rotation invalide" operator="between" showDropDown="false" showErrorMessage="false" showInputMessage="false" sqref="D13:J48 D52:J87 D91:J126 D130:J165 D169:J204 D208:J243 D247:J282 D286:J321 D325:J360 D364:J399 D403:J438 D442:J477" type="custom">
      <formula1>AND(LEN(D13)&lt;=4,LEN(SUBSTITUTE(SUBSTITUTE(SUBSTITUTE(SUBSTITUTE(SUBSTITUTE(UPPER(D13),"X","0"),"0",""),"1",""),"2",""),"3",""))=0)</formula1>
      <formula2>0</formula2>
    </dataValidation>
  </dataValidations>
  <hyperlinks>
    <hyperlink ref="E6" location="'Programme de vols'!B1" display="&lt;&lt; retour a la feuille Programme de vols"/>
    <hyperlink ref="C8" location="'Saisie programme'!B11" display="avril 2027"/>
    <hyperlink ref="D8" location="'Saisie programme'!B50" display="mai 2027"/>
    <hyperlink ref="E8" location="'Saisie programme'!B89" display="juin 2027"/>
    <hyperlink ref="F8" location="'Saisie programme'!B128" display="juillet 2027"/>
    <hyperlink ref="G8" location="'Saisie programme'!B167" display="aout 2027"/>
    <hyperlink ref="H8" location="'Saisie programme'!B206" display="septembre 2027"/>
    <hyperlink ref="C9" location="'Saisie programme'!B245" display="octobre 2027"/>
    <hyperlink ref="D9" location="'Saisie programme'!B284" display="novembre 2027"/>
    <hyperlink ref="E9" location="'Saisie programme'!B323" display="decembre 2027"/>
    <hyperlink ref="F9" location="'Saisie programme'!B362" display="janvier 2028"/>
    <hyperlink ref="G9" location="'Saisie programme'!B401" display="fevrier 2028"/>
    <hyperlink ref="H9" location="'Saisie programme'!B440" display="mars 2028"/>
    <hyperlink ref="L11" location="'Saisie programme'!B1" display="^ Haut de la feuille"/>
    <hyperlink ref="L50" location="'Saisie programme'!B1" display="^ Haut de la feuille"/>
    <hyperlink ref="L89" location="'Saisie programme'!B1" display="^ Haut de la feuille"/>
    <hyperlink ref="L128" location="'Saisie programme'!B1" display="^ Haut de la feuille"/>
    <hyperlink ref="L167" location="'Saisie programme'!B1" display="^ Haut de la feuille"/>
    <hyperlink ref="L206" location="'Saisie programme'!B1" display="^ Haut de la feuille"/>
    <hyperlink ref="L245" location="'Saisie programme'!B1" display="^ Haut de la feuille"/>
    <hyperlink ref="L284" location="'Saisie programme'!B1" display="^ Haut de la feuille"/>
    <hyperlink ref="L323" location="'Saisie programme'!B1" display="^ Haut de la feuille"/>
    <hyperlink ref="L362" location="'Saisie programme'!B1" display="^ Haut de la feuille"/>
    <hyperlink ref="L401" location="'Saisie programme'!B1" display="^ Haut de la feuille"/>
    <hyperlink ref="L440" location="'Saisie programme'!B1" display="^ Haut de la feuill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5" min="3" style="0" width="14"/>
    <col collapsed="false" customWidth="true" hidden="false" outlineLevel="0" max="6" min="6" style="0" width="60"/>
    <col collapsed="false" customWidth="true" hidden="false" outlineLevel="0" max="7" min="7" style="0" width="3"/>
    <col collapsed="false" customWidth="true" hidden="false" outlineLevel="0" max="8" min="8" style="0" width="18"/>
    <col collapsed="false" customWidth="true" hidden="false" outlineLevel="0" max="9" min="9" style="0" width="3"/>
    <col collapsed="false" customWidth="true" hidden="false" outlineLevel="0" max="10" min="10" style="0" width="12"/>
    <col collapsed="false" customWidth="true" hidden="false" outlineLevel="0" max="11" min="11" style="0" width="10"/>
  </cols>
  <sheetData>
    <row r="1" customFormat="false" ht="30" hidden="false" customHeight="true" outlineLevel="0" collapsed="false">
      <c r="B1" s="44" t="s">
        <v>151</v>
      </c>
      <c r="C1" s="44"/>
      <c r="D1" s="44"/>
      <c r="E1" s="44"/>
      <c r="F1" s="44"/>
      <c r="G1" s="44"/>
      <c r="H1" s="44"/>
    </row>
    <row r="2" customFormat="false" ht="42" hidden="false" customHeight="true" outlineLevel="0" collapsed="false">
      <c r="B2" s="45" t="s">
        <v>152</v>
      </c>
      <c r="C2" s="45"/>
      <c r="D2" s="45"/>
      <c r="E2" s="45"/>
      <c r="F2" s="45"/>
      <c r="G2" s="45"/>
      <c r="H2" s="45"/>
    </row>
    <row r="3" customFormat="false" ht="15" hidden="false" customHeight="false" outlineLevel="0" collapsed="false">
      <c r="B3" s="45"/>
      <c r="C3" s="45"/>
      <c r="D3" s="45"/>
      <c r="E3" s="45"/>
      <c r="F3" s="45"/>
      <c r="G3" s="45"/>
      <c r="H3" s="45"/>
    </row>
    <row r="4" customFormat="false" ht="15" hidden="false" customHeight="false" outlineLevel="0" collapsed="false">
      <c r="B4" s="13" t="s">
        <v>140</v>
      </c>
    </row>
    <row r="6" customFormat="false" ht="15" hidden="false" customHeight="false" outlineLevel="0" collapsed="false">
      <c r="B6" s="68" t="s">
        <v>153</v>
      </c>
      <c r="C6" s="68" t="s">
        <v>84</v>
      </c>
      <c r="D6" s="68" t="s">
        <v>144</v>
      </c>
      <c r="E6" s="68" t="s">
        <v>154</v>
      </c>
      <c r="F6" s="68" t="s">
        <v>155</v>
      </c>
      <c r="H6" s="69" t="s">
        <v>156</v>
      </c>
      <c r="J6" s="70" t="s">
        <v>6</v>
      </c>
      <c r="K6" s="70" t="s">
        <v>157</v>
      </c>
    </row>
    <row r="7" customFormat="false" ht="15" hidden="false" customHeight="false" outlineLevel="0" collapsed="false">
      <c r="B7" s="71"/>
      <c r="C7" s="72"/>
      <c r="D7" s="72"/>
      <c r="E7" s="73"/>
      <c r="F7" s="74"/>
      <c r="H7" s="75" t="str">
        <f aca="false">IF(OR($B7="",$C7=""),"",$B7&amp;"|"&amp;$C7)</f>
        <v/>
      </c>
      <c r="J7" s="12" t="s">
        <v>12</v>
      </c>
      <c r="K7" s="12" t="s">
        <v>11</v>
      </c>
    </row>
    <row r="8" customFormat="false" ht="15" hidden="false" customHeight="false" outlineLevel="0" collapsed="false">
      <c r="B8" s="71"/>
      <c r="C8" s="72"/>
      <c r="D8" s="72"/>
      <c r="E8" s="73"/>
      <c r="F8" s="74"/>
      <c r="H8" s="75" t="str">
        <f aca="false">IF(OR($B8="",$C8=""),"",$B8&amp;"|"&amp;$C8)</f>
        <v/>
      </c>
      <c r="J8" s="12" t="s">
        <v>20</v>
      </c>
      <c r="K8" s="12" t="s">
        <v>19</v>
      </c>
    </row>
    <row r="9" customFormat="false" ht="15" hidden="false" customHeight="false" outlineLevel="0" collapsed="false">
      <c r="B9" s="71"/>
      <c r="C9" s="72"/>
      <c r="D9" s="72"/>
      <c r="E9" s="73"/>
      <c r="F9" s="74"/>
      <c r="H9" s="75" t="str">
        <f aca="false">IF(OR($B9="",$C9=""),"",$B9&amp;"|"&amp;$C9)</f>
        <v/>
      </c>
      <c r="J9" s="12" t="s">
        <v>25</v>
      </c>
      <c r="K9" s="12" t="s">
        <v>24</v>
      </c>
    </row>
    <row r="10" customFormat="false" ht="15" hidden="false" customHeight="false" outlineLevel="0" collapsed="false">
      <c r="B10" s="71"/>
      <c r="C10" s="72"/>
      <c r="D10" s="72"/>
      <c r="E10" s="73"/>
      <c r="F10" s="74"/>
      <c r="H10" s="75" t="str">
        <f aca="false">IF(OR($B10="",$C10=""),"",$B10&amp;"|"&amp;$C10)</f>
        <v/>
      </c>
      <c r="J10" s="12" t="s">
        <v>36</v>
      </c>
    </row>
    <row r="11" customFormat="false" ht="15" hidden="false" customHeight="false" outlineLevel="0" collapsed="false">
      <c r="B11" s="71"/>
      <c r="C11" s="72"/>
      <c r="D11" s="72"/>
      <c r="E11" s="73"/>
      <c r="F11" s="74"/>
      <c r="H11" s="75" t="str">
        <f aca="false">IF(OR($B11="",$C11=""),"",$B11&amp;"|"&amp;$C11)</f>
        <v/>
      </c>
      <c r="J11" s="12" t="s">
        <v>40</v>
      </c>
    </row>
    <row r="12" customFormat="false" ht="15" hidden="false" customHeight="false" outlineLevel="0" collapsed="false">
      <c r="B12" s="71"/>
      <c r="C12" s="72"/>
      <c r="D12" s="72"/>
      <c r="E12" s="73"/>
      <c r="F12" s="74"/>
      <c r="H12" s="75" t="str">
        <f aca="false">IF(OR($B12="",$C12=""),"",$B12&amp;"|"&amp;$C12)</f>
        <v/>
      </c>
      <c r="J12" s="12" t="s">
        <v>14</v>
      </c>
    </row>
    <row r="13" customFormat="false" ht="15" hidden="false" customHeight="false" outlineLevel="0" collapsed="false">
      <c r="B13" s="71"/>
      <c r="C13" s="72"/>
      <c r="D13" s="72"/>
      <c r="E13" s="73"/>
      <c r="F13" s="74"/>
      <c r="H13" s="75" t="str">
        <f aca="false">IF(OR($B13="",$C13=""),"",$B13&amp;"|"&amp;$C13)</f>
        <v/>
      </c>
      <c r="J13" s="12" t="s">
        <v>46</v>
      </c>
    </row>
    <row r="14" customFormat="false" ht="15" hidden="false" customHeight="false" outlineLevel="0" collapsed="false">
      <c r="B14" s="71"/>
      <c r="C14" s="72"/>
      <c r="D14" s="72"/>
      <c r="E14" s="73"/>
      <c r="F14" s="74"/>
      <c r="H14" s="75" t="str">
        <f aca="false">IF(OR($B14="",$C14=""),"",$B14&amp;"|"&amp;$C14)</f>
        <v/>
      </c>
      <c r="J14" s="12" t="s">
        <v>49</v>
      </c>
    </row>
    <row r="15" customFormat="false" ht="15" hidden="false" customHeight="false" outlineLevel="0" collapsed="false">
      <c r="B15" s="71"/>
      <c r="C15" s="72"/>
      <c r="D15" s="72"/>
      <c r="E15" s="73"/>
      <c r="F15" s="74"/>
      <c r="H15" s="75" t="str">
        <f aca="false">IF(OR($B15="",$C15=""),"",$B15&amp;"|"&amp;$C15)</f>
        <v/>
      </c>
      <c r="J15" s="12" t="s">
        <v>53</v>
      </c>
    </row>
    <row r="16" customFormat="false" ht="15" hidden="false" customHeight="false" outlineLevel="0" collapsed="false">
      <c r="B16" s="71"/>
      <c r="C16" s="72"/>
      <c r="D16" s="72"/>
      <c r="E16" s="73"/>
      <c r="F16" s="74"/>
      <c r="H16" s="75" t="str">
        <f aca="false">IF(OR($B16="",$C16=""),"",$B16&amp;"|"&amp;$C16)</f>
        <v/>
      </c>
      <c r="J16" s="12" t="s">
        <v>56</v>
      </c>
    </row>
    <row r="17" customFormat="false" ht="15" hidden="false" customHeight="false" outlineLevel="0" collapsed="false">
      <c r="B17" s="71"/>
      <c r="C17" s="72"/>
      <c r="D17" s="72"/>
      <c r="E17" s="73"/>
      <c r="F17" s="74"/>
      <c r="H17" s="75" t="str">
        <f aca="false">IF(OR($B17="",$C17=""),"",$B17&amp;"|"&amp;$C17)</f>
        <v/>
      </c>
      <c r="J17" s="12" t="s">
        <v>59</v>
      </c>
    </row>
    <row r="18" customFormat="false" ht="15" hidden="false" customHeight="false" outlineLevel="0" collapsed="false">
      <c r="B18" s="71"/>
      <c r="C18" s="72"/>
      <c r="D18" s="72"/>
      <c r="E18" s="73"/>
      <c r="F18" s="74"/>
      <c r="H18" s="75" t="str">
        <f aca="false">IF(OR($B18="",$C18=""),"",$B18&amp;"|"&amp;$C18)</f>
        <v/>
      </c>
      <c r="J18" s="12" t="s">
        <v>62</v>
      </c>
    </row>
    <row r="19" customFormat="false" ht="15" hidden="false" customHeight="false" outlineLevel="0" collapsed="false">
      <c r="B19" s="71"/>
      <c r="C19" s="72"/>
      <c r="D19" s="72"/>
      <c r="E19" s="73"/>
      <c r="F19" s="74"/>
      <c r="H19" s="75" t="str">
        <f aca="false">IF(OR($B19="",$C19=""),"",$B19&amp;"|"&amp;$C19)</f>
        <v/>
      </c>
    </row>
    <row r="20" customFormat="false" ht="15" hidden="false" customHeight="false" outlineLevel="0" collapsed="false">
      <c r="B20" s="71"/>
      <c r="C20" s="72"/>
      <c r="D20" s="72"/>
      <c r="E20" s="73"/>
      <c r="F20" s="74"/>
      <c r="H20" s="75" t="str">
        <f aca="false">IF(OR($B20="",$C20=""),"",$B20&amp;"|"&amp;$C20)</f>
        <v/>
      </c>
      <c r="J20" s="76" t="s">
        <v>158</v>
      </c>
    </row>
    <row r="21" customFormat="false" ht="15" hidden="false" customHeight="false" outlineLevel="0" collapsed="false">
      <c r="B21" s="71"/>
      <c r="C21" s="72"/>
      <c r="D21" s="72"/>
      <c r="E21" s="73"/>
      <c r="F21" s="74"/>
      <c r="H21" s="75" t="str">
        <f aca="false">IF(OR($B21="",$C21=""),"",$B21&amp;"|"&amp;$C21)</f>
        <v/>
      </c>
    </row>
    <row r="22" customFormat="false" ht="15" hidden="false" customHeight="false" outlineLevel="0" collapsed="false">
      <c r="B22" s="71"/>
      <c r="C22" s="72"/>
      <c r="D22" s="72"/>
      <c r="E22" s="73"/>
      <c r="F22" s="74"/>
      <c r="H22" s="75" t="str">
        <f aca="false">IF(OR($B22="",$C22=""),"",$B22&amp;"|"&amp;$C22)</f>
        <v/>
      </c>
    </row>
    <row r="23" customFormat="false" ht="15" hidden="false" customHeight="false" outlineLevel="0" collapsed="false">
      <c r="B23" s="71"/>
      <c r="C23" s="72"/>
      <c r="D23" s="72"/>
      <c r="E23" s="73"/>
      <c r="F23" s="74"/>
      <c r="H23" s="75" t="str">
        <f aca="false">IF(OR($B23="",$C23=""),"",$B23&amp;"|"&amp;$C23)</f>
        <v/>
      </c>
    </row>
    <row r="24" customFormat="false" ht="15" hidden="false" customHeight="false" outlineLevel="0" collapsed="false">
      <c r="B24" s="71"/>
      <c r="C24" s="72"/>
      <c r="D24" s="72"/>
      <c r="E24" s="73"/>
      <c r="F24" s="74"/>
      <c r="H24" s="75" t="str">
        <f aca="false">IF(OR($B24="",$C24=""),"",$B24&amp;"|"&amp;$C24)</f>
        <v/>
      </c>
    </row>
    <row r="25" customFormat="false" ht="15" hidden="false" customHeight="false" outlineLevel="0" collapsed="false">
      <c r="B25" s="71"/>
      <c r="C25" s="72"/>
      <c r="D25" s="72"/>
      <c r="E25" s="73"/>
      <c r="F25" s="74"/>
      <c r="H25" s="75" t="str">
        <f aca="false">IF(OR($B25="",$C25=""),"",$B25&amp;"|"&amp;$C25)</f>
        <v/>
      </c>
    </row>
    <row r="26" customFormat="false" ht="15" hidden="false" customHeight="false" outlineLevel="0" collapsed="false">
      <c r="B26" s="71"/>
      <c r="C26" s="72"/>
      <c r="D26" s="72"/>
      <c r="E26" s="73"/>
      <c r="F26" s="74"/>
      <c r="H26" s="75" t="str">
        <f aca="false">IF(OR($B26="",$C26=""),"",$B26&amp;"|"&amp;$C26)</f>
        <v/>
      </c>
    </row>
    <row r="27" customFormat="false" ht="15" hidden="false" customHeight="false" outlineLevel="0" collapsed="false">
      <c r="B27" s="71"/>
      <c r="C27" s="72"/>
      <c r="D27" s="72"/>
      <c r="E27" s="73"/>
      <c r="F27" s="74"/>
      <c r="H27" s="75" t="str">
        <f aca="false">IF(OR($B27="",$C27=""),"",$B27&amp;"|"&amp;$C27)</f>
        <v/>
      </c>
    </row>
    <row r="28" customFormat="false" ht="15" hidden="false" customHeight="false" outlineLevel="0" collapsed="false">
      <c r="B28" s="71"/>
      <c r="C28" s="72"/>
      <c r="D28" s="72"/>
      <c r="E28" s="73"/>
      <c r="F28" s="74"/>
      <c r="H28" s="75" t="str">
        <f aca="false">IF(OR($B28="",$C28=""),"",$B28&amp;"|"&amp;$C28)</f>
        <v/>
      </c>
    </row>
    <row r="29" customFormat="false" ht="15" hidden="false" customHeight="false" outlineLevel="0" collapsed="false">
      <c r="B29" s="71"/>
      <c r="C29" s="72"/>
      <c r="D29" s="72"/>
      <c r="E29" s="73"/>
      <c r="F29" s="74"/>
      <c r="H29" s="75" t="str">
        <f aca="false">IF(OR($B29="",$C29=""),"",$B29&amp;"|"&amp;$C29)</f>
        <v/>
      </c>
    </row>
    <row r="30" customFormat="false" ht="15" hidden="false" customHeight="false" outlineLevel="0" collapsed="false">
      <c r="B30" s="71"/>
      <c r="C30" s="72"/>
      <c r="D30" s="72"/>
      <c r="E30" s="73"/>
      <c r="F30" s="74"/>
      <c r="H30" s="75" t="str">
        <f aca="false">IF(OR($B30="",$C30=""),"",$B30&amp;"|"&amp;$C30)</f>
        <v/>
      </c>
    </row>
    <row r="31" customFormat="false" ht="15" hidden="false" customHeight="false" outlineLevel="0" collapsed="false">
      <c r="B31" s="71"/>
      <c r="C31" s="72"/>
      <c r="D31" s="72"/>
      <c r="E31" s="73"/>
      <c r="F31" s="74"/>
      <c r="H31" s="75" t="str">
        <f aca="false">IF(OR($B31="",$C31=""),"",$B31&amp;"|"&amp;$C31)</f>
        <v/>
      </c>
    </row>
    <row r="32" customFormat="false" ht="15" hidden="false" customHeight="false" outlineLevel="0" collapsed="false">
      <c r="B32" s="71"/>
      <c r="C32" s="72"/>
      <c r="D32" s="72"/>
      <c r="E32" s="73"/>
      <c r="F32" s="74"/>
      <c r="H32" s="75" t="str">
        <f aca="false">IF(OR($B32="",$C32=""),"",$B32&amp;"|"&amp;$C32)</f>
        <v/>
      </c>
    </row>
    <row r="33" customFormat="false" ht="15" hidden="false" customHeight="false" outlineLevel="0" collapsed="false">
      <c r="B33" s="71"/>
      <c r="C33" s="72"/>
      <c r="D33" s="72"/>
      <c r="E33" s="73"/>
      <c r="F33" s="74"/>
      <c r="H33" s="75" t="str">
        <f aca="false">IF(OR($B33="",$C33=""),"",$B33&amp;"|"&amp;$C33)</f>
        <v/>
      </c>
    </row>
    <row r="34" customFormat="false" ht="15" hidden="false" customHeight="false" outlineLevel="0" collapsed="false">
      <c r="B34" s="71"/>
      <c r="C34" s="72"/>
      <c r="D34" s="72"/>
      <c r="E34" s="73"/>
      <c r="F34" s="74"/>
      <c r="H34" s="75" t="str">
        <f aca="false">IF(OR($B34="",$C34=""),"",$B34&amp;"|"&amp;$C34)</f>
        <v/>
      </c>
    </row>
    <row r="35" customFormat="false" ht="15" hidden="false" customHeight="false" outlineLevel="0" collapsed="false">
      <c r="B35" s="71"/>
      <c r="C35" s="72"/>
      <c r="D35" s="72"/>
      <c r="E35" s="73"/>
      <c r="F35" s="74"/>
      <c r="H35" s="75" t="str">
        <f aca="false">IF(OR($B35="",$C35=""),"",$B35&amp;"|"&amp;$C35)</f>
        <v/>
      </c>
    </row>
    <row r="36" customFormat="false" ht="15" hidden="false" customHeight="false" outlineLevel="0" collapsed="false">
      <c r="B36" s="71"/>
      <c r="C36" s="72"/>
      <c r="D36" s="72"/>
      <c r="E36" s="73"/>
      <c r="F36" s="74"/>
      <c r="H36" s="75" t="str">
        <f aca="false">IF(OR($B36="",$C36=""),"",$B36&amp;"|"&amp;$C36)</f>
        <v/>
      </c>
    </row>
    <row r="37" customFormat="false" ht="15" hidden="false" customHeight="false" outlineLevel="0" collapsed="false">
      <c r="B37" s="71"/>
      <c r="C37" s="72"/>
      <c r="D37" s="72"/>
      <c r="E37" s="73"/>
      <c r="F37" s="74"/>
      <c r="H37" s="75" t="str">
        <f aca="false">IF(OR($B37="",$C37=""),"",$B37&amp;"|"&amp;$C37)</f>
        <v/>
      </c>
    </row>
    <row r="38" customFormat="false" ht="15" hidden="false" customHeight="false" outlineLevel="0" collapsed="false">
      <c r="B38" s="71"/>
      <c r="C38" s="72"/>
      <c r="D38" s="72"/>
      <c r="E38" s="73"/>
      <c r="F38" s="74"/>
      <c r="H38" s="75" t="str">
        <f aca="false">IF(OR($B38="",$C38=""),"",$B38&amp;"|"&amp;$C38)</f>
        <v/>
      </c>
    </row>
    <row r="39" customFormat="false" ht="15" hidden="false" customHeight="false" outlineLevel="0" collapsed="false">
      <c r="B39" s="71"/>
      <c r="C39" s="72"/>
      <c r="D39" s="72"/>
      <c r="E39" s="73"/>
      <c r="F39" s="74"/>
      <c r="H39" s="75" t="str">
        <f aca="false">IF(OR($B39="",$C39=""),"",$B39&amp;"|"&amp;$C39)</f>
        <v/>
      </c>
    </row>
    <row r="40" customFormat="false" ht="15" hidden="false" customHeight="false" outlineLevel="0" collapsed="false">
      <c r="B40" s="71"/>
      <c r="C40" s="72"/>
      <c r="D40" s="72"/>
      <c r="E40" s="73"/>
      <c r="F40" s="74"/>
      <c r="H40" s="75" t="str">
        <f aca="false">IF(OR($B40="",$C40=""),"",$B40&amp;"|"&amp;$C40)</f>
        <v/>
      </c>
    </row>
    <row r="41" customFormat="false" ht="15" hidden="false" customHeight="false" outlineLevel="0" collapsed="false">
      <c r="B41" s="71"/>
      <c r="C41" s="72"/>
      <c r="D41" s="72"/>
      <c r="E41" s="73"/>
      <c r="F41" s="74"/>
      <c r="H41" s="75" t="str">
        <f aca="false">IF(OR($B41="",$C41=""),"",$B41&amp;"|"&amp;$C41)</f>
        <v/>
      </c>
    </row>
    <row r="42" customFormat="false" ht="15" hidden="false" customHeight="false" outlineLevel="0" collapsed="false">
      <c r="B42" s="71"/>
      <c r="C42" s="72"/>
      <c r="D42" s="72"/>
      <c r="E42" s="73"/>
      <c r="F42" s="74"/>
      <c r="H42" s="75" t="str">
        <f aca="false">IF(OR($B42="",$C42=""),"",$B42&amp;"|"&amp;$C42)</f>
        <v/>
      </c>
    </row>
    <row r="43" customFormat="false" ht="15" hidden="false" customHeight="false" outlineLevel="0" collapsed="false">
      <c r="B43" s="71"/>
      <c r="C43" s="72"/>
      <c r="D43" s="72"/>
      <c r="E43" s="73"/>
      <c r="F43" s="74"/>
      <c r="H43" s="75" t="str">
        <f aca="false">IF(OR($B43="",$C43=""),"",$B43&amp;"|"&amp;$C43)</f>
        <v/>
      </c>
    </row>
    <row r="44" customFormat="false" ht="15" hidden="false" customHeight="false" outlineLevel="0" collapsed="false">
      <c r="B44" s="71"/>
      <c r="C44" s="72"/>
      <c r="D44" s="72"/>
      <c r="E44" s="73"/>
      <c r="F44" s="74"/>
      <c r="H44" s="75" t="str">
        <f aca="false">IF(OR($B44="",$C44=""),"",$B44&amp;"|"&amp;$C44)</f>
        <v/>
      </c>
    </row>
    <row r="45" customFormat="false" ht="15" hidden="false" customHeight="false" outlineLevel="0" collapsed="false">
      <c r="B45" s="71"/>
      <c r="C45" s="72"/>
      <c r="D45" s="72"/>
      <c r="E45" s="73"/>
      <c r="F45" s="74"/>
      <c r="H45" s="75" t="str">
        <f aca="false">IF(OR($B45="",$C45=""),"",$B45&amp;"|"&amp;$C45)</f>
        <v/>
      </c>
    </row>
    <row r="46" customFormat="false" ht="15" hidden="false" customHeight="false" outlineLevel="0" collapsed="false">
      <c r="B46" s="71"/>
      <c r="C46" s="72"/>
      <c r="D46" s="72"/>
      <c r="E46" s="73"/>
      <c r="F46" s="74"/>
      <c r="H46" s="75" t="str">
        <f aca="false">IF(OR($B46="",$C46=""),"",$B46&amp;"|"&amp;$C46)</f>
        <v/>
      </c>
    </row>
    <row r="47" customFormat="false" ht="15" hidden="false" customHeight="false" outlineLevel="0" collapsed="false">
      <c r="B47" s="71"/>
      <c r="C47" s="72"/>
      <c r="D47" s="72"/>
      <c r="E47" s="73"/>
      <c r="F47" s="74"/>
      <c r="H47" s="75" t="str">
        <f aca="false">IF(OR($B47="",$C47=""),"",$B47&amp;"|"&amp;$C47)</f>
        <v/>
      </c>
    </row>
    <row r="48" customFormat="false" ht="15" hidden="false" customHeight="false" outlineLevel="0" collapsed="false">
      <c r="B48" s="71"/>
      <c r="C48" s="72"/>
      <c r="D48" s="72"/>
      <c r="E48" s="73"/>
      <c r="F48" s="74"/>
      <c r="H48" s="75" t="str">
        <f aca="false">IF(OR($B48="",$C48=""),"",$B48&amp;"|"&amp;$C48)</f>
        <v/>
      </c>
    </row>
    <row r="49" customFormat="false" ht="15" hidden="false" customHeight="false" outlineLevel="0" collapsed="false">
      <c r="B49" s="71"/>
      <c r="C49" s="72"/>
      <c r="D49" s="72"/>
      <c r="E49" s="73"/>
      <c r="F49" s="74"/>
      <c r="H49" s="75" t="str">
        <f aca="false">IF(OR($B49="",$C49=""),"",$B49&amp;"|"&amp;$C49)</f>
        <v/>
      </c>
    </row>
    <row r="50" customFormat="false" ht="15" hidden="false" customHeight="false" outlineLevel="0" collapsed="false">
      <c r="B50" s="71"/>
      <c r="C50" s="72"/>
      <c r="D50" s="72"/>
      <c r="E50" s="73"/>
      <c r="F50" s="74"/>
      <c r="H50" s="75" t="str">
        <f aca="false">IF(OR($B50="",$C50=""),"",$B50&amp;"|"&amp;$C50)</f>
        <v/>
      </c>
    </row>
    <row r="51" customFormat="false" ht="15" hidden="false" customHeight="false" outlineLevel="0" collapsed="false">
      <c r="B51" s="71"/>
      <c r="C51" s="72"/>
      <c r="D51" s="72"/>
      <c r="E51" s="73"/>
      <c r="F51" s="74"/>
      <c r="H51" s="75" t="str">
        <f aca="false">IF(OR($B51="",$C51=""),"",$B51&amp;"|"&amp;$C51)</f>
        <v/>
      </c>
    </row>
    <row r="52" customFormat="false" ht="15" hidden="false" customHeight="false" outlineLevel="0" collapsed="false">
      <c r="B52" s="71"/>
      <c r="C52" s="72"/>
      <c r="D52" s="72"/>
      <c r="E52" s="73"/>
      <c r="F52" s="74"/>
      <c r="H52" s="75" t="str">
        <f aca="false">IF(OR($B52="",$C52=""),"",$B52&amp;"|"&amp;$C52)</f>
        <v/>
      </c>
    </row>
    <row r="53" customFormat="false" ht="15" hidden="false" customHeight="false" outlineLevel="0" collapsed="false">
      <c r="B53" s="71"/>
      <c r="C53" s="72"/>
      <c r="D53" s="72"/>
      <c r="E53" s="73"/>
      <c r="F53" s="74"/>
      <c r="H53" s="75" t="str">
        <f aca="false">IF(OR($B53="",$C53=""),"",$B53&amp;"|"&amp;$C53)</f>
        <v/>
      </c>
    </row>
    <row r="54" customFormat="false" ht="15" hidden="false" customHeight="false" outlineLevel="0" collapsed="false">
      <c r="B54" s="71"/>
      <c r="C54" s="72"/>
      <c r="D54" s="72"/>
      <c r="E54" s="73"/>
      <c r="F54" s="74"/>
      <c r="H54" s="75" t="str">
        <f aca="false">IF(OR($B54="",$C54=""),"",$B54&amp;"|"&amp;$C54)</f>
        <v/>
      </c>
    </row>
    <row r="55" customFormat="false" ht="15" hidden="false" customHeight="false" outlineLevel="0" collapsed="false">
      <c r="B55" s="71"/>
      <c r="C55" s="72"/>
      <c r="D55" s="72"/>
      <c r="E55" s="73"/>
      <c r="F55" s="74"/>
      <c r="H55" s="75" t="str">
        <f aca="false">IF(OR($B55="",$C55=""),"",$B55&amp;"|"&amp;$C55)</f>
        <v/>
      </c>
    </row>
    <row r="56" customFormat="false" ht="15" hidden="false" customHeight="false" outlineLevel="0" collapsed="false">
      <c r="B56" s="71"/>
      <c r="C56" s="72"/>
      <c r="D56" s="72"/>
      <c r="E56" s="73"/>
      <c r="F56" s="74"/>
      <c r="H56" s="75" t="str">
        <f aca="false">IF(OR($B56="",$C56=""),"",$B56&amp;"|"&amp;$C56)</f>
        <v/>
      </c>
    </row>
    <row r="57" customFormat="false" ht="15" hidden="false" customHeight="false" outlineLevel="0" collapsed="false">
      <c r="B57" s="71"/>
      <c r="C57" s="72"/>
      <c r="D57" s="72"/>
      <c r="E57" s="73"/>
      <c r="F57" s="74"/>
      <c r="H57" s="75" t="str">
        <f aca="false">IF(OR($B57="",$C57=""),"",$B57&amp;"|"&amp;$C57)</f>
        <v/>
      </c>
    </row>
    <row r="58" customFormat="false" ht="15" hidden="false" customHeight="false" outlineLevel="0" collapsed="false">
      <c r="B58" s="71"/>
      <c r="C58" s="72"/>
      <c r="D58" s="72"/>
      <c r="E58" s="73"/>
      <c r="F58" s="74"/>
      <c r="H58" s="75" t="str">
        <f aca="false">IF(OR($B58="",$C58=""),"",$B58&amp;"|"&amp;$C58)</f>
        <v/>
      </c>
    </row>
    <row r="59" customFormat="false" ht="15" hidden="false" customHeight="false" outlineLevel="0" collapsed="false">
      <c r="B59" s="71"/>
      <c r="C59" s="72"/>
      <c r="D59" s="72"/>
      <c r="E59" s="73"/>
      <c r="F59" s="74"/>
      <c r="H59" s="75" t="str">
        <f aca="false">IF(OR($B59="",$C59=""),"",$B59&amp;"|"&amp;$C59)</f>
        <v/>
      </c>
    </row>
    <row r="60" customFormat="false" ht="15" hidden="false" customHeight="false" outlineLevel="0" collapsed="false">
      <c r="B60" s="71"/>
      <c r="C60" s="72"/>
      <c r="D60" s="72"/>
      <c r="E60" s="73"/>
      <c r="F60" s="74"/>
      <c r="H60" s="75" t="str">
        <f aca="false">IF(OR($B60="",$C60=""),"",$B60&amp;"|"&amp;$C60)</f>
        <v/>
      </c>
    </row>
    <row r="61" customFormat="false" ht="15" hidden="false" customHeight="false" outlineLevel="0" collapsed="false">
      <c r="B61" s="71"/>
      <c r="C61" s="72"/>
      <c r="D61" s="72"/>
      <c r="E61" s="73"/>
      <c r="F61" s="74"/>
      <c r="H61" s="75" t="str">
        <f aca="false">IF(OR($B61="",$C61=""),"",$B61&amp;"|"&amp;$C61)</f>
        <v/>
      </c>
    </row>
    <row r="62" customFormat="false" ht="15" hidden="false" customHeight="false" outlineLevel="0" collapsed="false">
      <c r="B62" s="71"/>
      <c r="C62" s="72"/>
      <c r="D62" s="72"/>
      <c r="E62" s="73"/>
      <c r="F62" s="74"/>
      <c r="H62" s="75" t="str">
        <f aca="false">IF(OR($B62="",$C62=""),"",$B62&amp;"|"&amp;$C62)</f>
        <v/>
      </c>
    </row>
    <row r="63" customFormat="false" ht="15" hidden="false" customHeight="false" outlineLevel="0" collapsed="false">
      <c r="B63" s="71"/>
      <c r="C63" s="72"/>
      <c r="D63" s="72"/>
      <c r="E63" s="73"/>
      <c r="F63" s="74"/>
      <c r="H63" s="75" t="str">
        <f aca="false">IF(OR($B63="",$C63=""),"",$B63&amp;"|"&amp;$C63)</f>
        <v/>
      </c>
    </row>
    <row r="64" customFormat="false" ht="15" hidden="false" customHeight="false" outlineLevel="0" collapsed="false">
      <c r="B64" s="71"/>
      <c r="C64" s="72"/>
      <c r="D64" s="72"/>
      <c r="E64" s="73"/>
      <c r="F64" s="74"/>
      <c r="H64" s="75" t="str">
        <f aca="false">IF(OR($B64="",$C64=""),"",$B64&amp;"|"&amp;$C64)</f>
        <v/>
      </c>
    </row>
    <row r="65" customFormat="false" ht="15" hidden="false" customHeight="false" outlineLevel="0" collapsed="false">
      <c r="B65" s="71"/>
      <c r="C65" s="72"/>
      <c r="D65" s="72"/>
      <c r="E65" s="73"/>
      <c r="F65" s="74"/>
      <c r="H65" s="75" t="str">
        <f aca="false">IF(OR($B65="",$C65=""),"",$B65&amp;"|"&amp;$C65)</f>
        <v/>
      </c>
    </row>
    <row r="66" customFormat="false" ht="15" hidden="false" customHeight="false" outlineLevel="0" collapsed="false">
      <c r="B66" s="71"/>
      <c r="C66" s="72"/>
      <c r="D66" s="72"/>
      <c r="E66" s="73"/>
      <c r="F66" s="74"/>
      <c r="H66" s="75" t="str">
        <f aca="false">IF(OR($B66="",$C66=""),"",$B66&amp;"|"&amp;$C66)</f>
        <v/>
      </c>
    </row>
  </sheetData>
  <mergeCells count="2">
    <mergeCell ref="B1:H1"/>
    <mergeCell ref="B2:H3"/>
  </mergeCells>
  <dataValidations count="4">
    <dataValidation allowBlank="true" error="Choisir une route dans la liste." errorStyle="stop" errorTitle="Route inconnue" operator="between" showDropDown="false" showErrorMessage="false" showInputMessage="false" sqref="C7:C66" type="list">
      <formula1>$J$7:$J$18</formula1>
      <formula2>0</formula2>
    </dataValidation>
    <dataValidation allowBlank="true" error="Choisir un type avion dans la liste." errorStyle="stop" errorTitle="Type avion inconnu" operator="between" showDropDown="false" showErrorMessage="false" showInputMessage="false" sqref="D7:D66" type="list">
      <formula1>$K$7:$K$9</formula1>
      <formula2>0</formula2>
    </dataValidation>
    <dataValidation allowBlank="true" error="Nombre de rotations : entier entre 1 et 20." errorStyle="stop" errorTitle="Valeur invalide" operator="between" showDropDown="false" showErrorMessage="false" showInputMessage="false" sqref="E7:E66" type="whole">
      <formula1>1</formula1>
      <formula2>20</formula2>
    </dataValidation>
    <dataValidation allowBlank="true" error="Date hors de l'annee avril 2027 - mars 2028 : le vol ne sera visible dans aucun mois." errorStyle="warning" errorTitle="Date hors annee d'exploitation" operator="between" showDropDown="false" showErrorMessage="false" showInputMessage="false" sqref="B7:B66" type="date">
      <formula1>DATE(2027,4,1)</formula1>
      <formula2>DATE(2028,3,31)</formula2>
    </dataValidation>
  </dataValidations>
  <hyperlinks>
    <hyperlink ref="B4" location="'Programme de vols'!B1" display="&lt;&lt; retour a la feuille Programme de vo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14" min="3" style="0" width="13"/>
    <col collapsed="false" customWidth="true" hidden="false" outlineLevel="0" max="15" min="15" style="0" width="14"/>
    <col collapsed="false" customWidth="true" hidden="false" outlineLevel="0" max="16" min="16" style="0" width="10"/>
  </cols>
  <sheetData>
    <row r="1" customFormat="false" ht="30" hidden="false" customHeight="true" outlineLevel="0" collapsed="false">
      <c r="B1" s="1" t="s">
        <v>159</v>
      </c>
      <c r="C1" s="1"/>
      <c r="D1" s="1"/>
      <c r="E1" s="1"/>
      <c r="F1" s="1"/>
      <c r="G1" s="1"/>
      <c r="H1" s="1"/>
      <c r="I1" s="1"/>
      <c r="J1" s="1"/>
    </row>
    <row r="2" customFormat="false" ht="25.5" hidden="false" customHeight="true" outlineLevel="0" collapsed="false">
      <c r="B2" s="2" t="s">
        <v>160</v>
      </c>
      <c r="C2" s="2"/>
      <c r="D2" s="2"/>
      <c r="E2" s="2"/>
      <c r="F2" s="2"/>
      <c r="G2" s="2"/>
      <c r="H2" s="2"/>
      <c r="I2" s="2"/>
      <c r="J2" s="2"/>
    </row>
    <row r="4" customFormat="false" ht="15" hidden="false" customHeight="false" outlineLevel="0" collapsed="false">
      <c r="B4" s="14" t="s">
        <v>161</v>
      </c>
      <c r="C4" s="14"/>
      <c r="D4" s="14"/>
      <c r="E4" s="14"/>
      <c r="F4" s="14"/>
    </row>
    <row r="5" customFormat="false" ht="15" hidden="false" customHeight="false" outlineLevel="0" collapsed="false">
      <c r="B5" s="77" t="s">
        <v>144</v>
      </c>
      <c r="C5" s="77" t="s">
        <v>162</v>
      </c>
      <c r="D5" s="77" t="s">
        <v>163</v>
      </c>
    </row>
    <row r="6" customFormat="false" ht="15" hidden="false" customHeight="false" outlineLevel="0" collapsed="false">
      <c r="B6" s="34" t="s">
        <v>11</v>
      </c>
      <c r="C6" s="78" t="n">
        <v>438</v>
      </c>
      <c r="D6" s="79" t="s">
        <v>164</v>
      </c>
      <c r="E6" s="79"/>
      <c r="F6" s="79"/>
    </row>
    <row r="7" customFormat="false" ht="15" hidden="false" customHeight="false" outlineLevel="0" collapsed="false">
      <c r="B7" s="34" t="s">
        <v>19</v>
      </c>
      <c r="C7" s="78" t="n">
        <v>262</v>
      </c>
      <c r="D7" s="79" t="s">
        <v>165</v>
      </c>
      <c r="E7" s="79"/>
      <c r="F7" s="79"/>
    </row>
    <row r="8" customFormat="false" ht="15" hidden="false" customHeight="false" outlineLevel="0" collapsed="false">
      <c r="B8" s="34" t="s">
        <v>24</v>
      </c>
      <c r="C8" s="78" t="n">
        <v>174</v>
      </c>
      <c r="D8" s="79" t="s">
        <v>166</v>
      </c>
      <c r="E8" s="79"/>
      <c r="F8" s="79"/>
    </row>
    <row r="9" customFormat="false" ht="15" hidden="false" customHeight="false" outlineLevel="0" collapsed="false">
      <c r="B9" s="34" t="s">
        <v>167</v>
      </c>
      <c r="C9" s="80" t="n">
        <v>1</v>
      </c>
      <c r="D9" s="81" t="s">
        <v>168</v>
      </c>
      <c r="E9" s="81"/>
      <c r="F9" s="81"/>
    </row>
    <row r="11" customFormat="false" ht="15" hidden="false" customHeight="false" outlineLevel="0" collapsed="false">
      <c r="B11" s="14" t="s">
        <v>169</v>
      </c>
      <c r="C11" s="14"/>
      <c r="D11" s="14"/>
      <c r="E11" s="14"/>
      <c r="F11" s="14"/>
    </row>
    <row r="12" customFormat="false" ht="30" hidden="false" customHeight="true" outlineLevel="0" collapsed="false">
      <c r="B12" s="33" t="s">
        <v>84</v>
      </c>
      <c r="C12" s="33" t="s">
        <v>170</v>
      </c>
      <c r="D12" s="33" t="s">
        <v>171</v>
      </c>
      <c r="E12" s="33" t="s">
        <v>172</v>
      </c>
      <c r="F12" s="33" t="s">
        <v>173</v>
      </c>
    </row>
    <row r="13" customFormat="false" ht="15" hidden="false" customHeight="false" outlineLevel="0" collapsed="false">
      <c r="B13" s="82" t="s">
        <v>12</v>
      </c>
      <c r="C13" s="83" t="n">
        <f aca="false">SUM(C$46:C$57)</f>
        <v>587</v>
      </c>
      <c r="D13" s="84" t="n">
        <f aca="false">SUM(C$29:C$40)</f>
        <v>209938</v>
      </c>
      <c r="E13" s="83" t="n">
        <f aca="false">IFERROR(D13/C13,"-")</f>
        <v>357.645655877342</v>
      </c>
      <c r="F13" s="85" t="n">
        <f aca="false">IFERROR(D13/$D$25,0)</f>
        <v>0.361202298613262</v>
      </c>
    </row>
    <row r="14" customFormat="false" ht="15" hidden="false" customHeight="false" outlineLevel="0" collapsed="false">
      <c r="B14" s="86" t="s">
        <v>20</v>
      </c>
      <c r="C14" s="83" t="n">
        <f aca="false">SUM(D$46:D$57)</f>
        <v>157</v>
      </c>
      <c r="D14" s="84" t="n">
        <f aca="false">SUM(D$29:D$40)</f>
        <v>50286</v>
      </c>
      <c r="E14" s="83" t="n">
        <f aca="false">IFERROR(D14/C14,"-")</f>
        <v>320.292993630573</v>
      </c>
      <c r="F14" s="85" t="n">
        <f aca="false">IFERROR(D14/$D$25,0)</f>
        <v>0.086518013832972</v>
      </c>
    </row>
    <row r="15" customFormat="false" ht="15" hidden="false" customHeight="false" outlineLevel="0" collapsed="false">
      <c r="B15" s="87" t="s">
        <v>25</v>
      </c>
      <c r="C15" s="83" t="n">
        <f aca="false">SUM(E$46:E$57)</f>
        <v>104</v>
      </c>
      <c r="D15" s="84" t="n">
        <f aca="false">SUM(E$29:E$40)</f>
        <v>27248</v>
      </c>
      <c r="E15" s="83" t="n">
        <f aca="false">IFERROR(D15/C15,"-")</f>
        <v>262</v>
      </c>
      <c r="F15" s="85" t="n">
        <f aca="false">IFERROR(D15/$D$25,0)</f>
        <v>0.0468806992188844</v>
      </c>
    </row>
    <row r="16" customFormat="false" ht="15" hidden="false" customHeight="false" outlineLevel="0" collapsed="false">
      <c r="B16" s="88" t="s">
        <v>36</v>
      </c>
      <c r="C16" s="83" t="n">
        <f aca="false">SUM(F$46:F$57)</f>
        <v>314</v>
      </c>
      <c r="D16" s="84" t="n">
        <f aca="false">SUM(F$29:F$40)</f>
        <v>59212</v>
      </c>
      <c r="E16" s="83" t="n">
        <f aca="false">IFERROR(D16/C16,"-")</f>
        <v>188.573248407643</v>
      </c>
      <c r="F16" s="85" t="n">
        <f aca="false">IFERROR(D16/$D$25,0)</f>
        <v>0.101875365610268</v>
      </c>
    </row>
    <row r="17" customFormat="false" ht="15" hidden="false" customHeight="false" outlineLevel="0" collapsed="false">
      <c r="B17" s="89" t="s">
        <v>40</v>
      </c>
      <c r="C17" s="83" t="n">
        <f aca="false">SUM(G$46:G$57)</f>
        <v>209</v>
      </c>
      <c r="D17" s="84" t="n">
        <f aca="false">SUM(G$29:G$40)</f>
        <v>36366</v>
      </c>
      <c r="E17" s="83" t="n">
        <f aca="false">IFERROR(D17/C17,"-")</f>
        <v>174</v>
      </c>
      <c r="F17" s="85" t="n">
        <f aca="false">IFERROR(D17/$D$25,0)</f>
        <v>0.062568390626613</v>
      </c>
    </row>
    <row r="18" customFormat="false" ht="15" hidden="false" customHeight="false" outlineLevel="0" collapsed="false">
      <c r="B18" s="90" t="s">
        <v>14</v>
      </c>
      <c r="C18" s="83" t="n">
        <f aca="false">SUM(H$46:H$57)</f>
        <v>169</v>
      </c>
      <c r="D18" s="84" t="n">
        <f aca="false">SUM(H$29:H$40)</f>
        <v>29406</v>
      </c>
      <c r="E18" s="83" t="n">
        <f aca="false">IFERROR(D18/C18,"-")</f>
        <v>174</v>
      </c>
      <c r="F18" s="85" t="n">
        <f aca="false">IFERROR(D18/$D$25,0)</f>
        <v>0.0505935790234335</v>
      </c>
    </row>
    <row r="19" customFormat="false" ht="15" hidden="false" customHeight="false" outlineLevel="0" collapsed="false">
      <c r="B19" s="91" t="s">
        <v>46</v>
      </c>
      <c r="C19" s="83" t="n">
        <f aca="false">SUM(I$46:I$57)</f>
        <v>157</v>
      </c>
      <c r="D19" s="84" t="n">
        <f aca="false">SUM(I$29:I$40)</f>
        <v>27318</v>
      </c>
      <c r="E19" s="83" t="n">
        <f aca="false">IFERROR(D19/C19,"-")</f>
        <v>174</v>
      </c>
      <c r="F19" s="85" t="n">
        <f aca="false">IFERROR(D19/$D$25,0)</f>
        <v>0.0470011355424796</v>
      </c>
    </row>
    <row r="20" customFormat="false" ht="15" hidden="false" customHeight="false" outlineLevel="0" collapsed="false">
      <c r="B20" s="92" t="s">
        <v>49</v>
      </c>
      <c r="C20" s="83" t="n">
        <f aca="false">SUM(J$46:J$57)</f>
        <v>105</v>
      </c>
      <c r="D20" s="84" t="n">
        <f aca="false">SUM(J$29:J$40)</f>
        <v>27510</v>
      </c>
      <c r="E20" s="83" t="n">
        <f aca="false">IFERROR(D20/C20,"-")</f>
        <v>262</v>
      </c>
      <c r="F20" s="85" t="n">
        <f aca="false">IFERROR(D20/$D$25,0)</f>
        <v>0.0473314751729122</v>
      </c>
    </row>
    <row r="21" customFormat="false" ht="15" hidden="false" customHeight="false" outlineLevel="0" collapsed="false">
      <c r="B21" s="93" t="s">
        <v>53</v>
      </c>
      <c r="C21" s="83" t="n">
        <f aca="false">SUM(K$46:K$57)</f>
        <v>53</v>
      </c>
      <c r="D21" s="84" t="n">
        <f aca="false">SUM(K$29:K$40)</f>
        <v>13886</v>
      </c>
      <c r="E21" s="83" t="n">
        <f aca="false">IFERROR(D21/C21,"-")</f>
        <v>262</v>
      </c>
      <c r="F21" s="85" t="n">
        <f aca="false">IFERROR(D21/$D$25,0)</f>
        <v>0.0238911255634699</v>
      </c>
    </row>
    <row r="22" customFormat="false" ht="15" hidden="false" customHeight="false" outlineLevel="0" collapsed="false">
      <c r="B22" s="94" t="s">
        <v>56</v>
      </c>
      <c r="C22" s="83" t="n">
        <f aca="false">SUM(L$46:L$57)</f>
        <v>104</v>
      </c>
      <c r="D22" s="84" t="n">
        <f aca="false">SUM(L$29:L$40)</f>
        <v>18096</v>
      </c>
      <c r="E22" s="83" t="n">
        <f aca="false">IFERROR(D22/C22,"-")</f>
        <v>174</v>
      </c>
      <c r="F22" s="85" t="n">
        <f aca="false">IFERROR(D22/$D$25,0)</f>
        <v>0.0311345101682668</v>
      </c>
    </row>
    <row r="23" customFormat="false" ht="15" hidden="false" customHeight="false" outlineLevel="0" collapsed="false">
      <c r="B23" s="95" t="s">
        <v>59</v>
      </c>
      <c r="C23" s="83" t="n">
        <f aca="false">SUM(M$46:M$57)</f>
        <v>367</v>
      </c>
      <c r="D23" s="84" t="n">
        <f aca="false">SUM(M$29:M$40)</f>
        <v>63858</v>
      </c>
      <c r="E23" s="83" t="n">
        <f aca="false">IFERROR(D23/C23,"-")</f>
        <v>174</v>
      </c>
      <c r="F23" s="85" t="n">
        <f aca="false">IFERROR(D23/$D$25,0)</f>
        <v>0.109868896459172</v>
      </c>
    </row>
    <row r="24" customFormat="false" ht="15" hidden="false" customHeight="false" outlineLevel="0" collapsed="false">
      <c r="B24" s="96" t="s">
        <v>62</v>
      </c>
      <c r="C24" s="83" t="n">
        <f aca="false">SUM(N$46:N$57)</f>
        <v>104</v>
      </c>
      <c r="D24" s="84" t="n">
        <f aca="false">SUM(N$29:N$40)</f>
        <v>18096</v>
      </c>
      <c r="E24" s="83" t="n">
        <f aca="false">IFERROR(D24/C24,"-")</f>
        <v>174</v>
      </c>
      <c r="F24" s="85" t="n">
        <f aca="false">IFERROR(D24/$D$25,0)</f>
        <v>0.0311345101682668</v>
      </c>
    </row>
    <row r="25" customFormat="false" ht="15" hidden="false" customHeight="false" outlineLevel="0" collapsed="false">
      <c r="B25" s="39" t="s">
        <v>174</v>
      </c>
      <c r="C25" s="97" t="n">
        <f aca="false">SUM(C13:C24)</f>
        <v>2430</v>
      </c>
      <c r="D25" s="97" t="n">
        <f aca="false">SUM(D13:D24)</f>
        <v>581220</v>
      </c>
      <c r="E25" s="98" t="n">
        <f aca="false">IFERROR(D25/C25,"-")</f>
        <v>239.185185185185</v>
      </c>
      <c r="F25" s="99" t="n">
        <f aca="false">IFERROR(D25/$D$25,0)</f>
        <v>1</v>
      </c>
    </row>
    <row r="27" customFormat="false" ht="15" hidden="false" customHeight="false" outlineLevel="0" collapsed="false">
      <c r="B27" s="14" t="s">
        <v>175</v>
      </c>
      <c r="C27" s="14"/>
      <c r="D27" s="14"/>
      <c r="E27" s="14"/>
      <c r="F27" s="14"/>
      <c r="G27" s="14"/>
      <c r="H27" s="14"/>
      <c r="I27" s="14"/>
      <c r="J27" s="14"/>
      <c r="K27" s="14"/>
      <c r="L27" s="14"/>
      <c r="M27" s="14"/>
      <c r="N27" s="14"/>
      <c r="O27" s="14"/>
    </row>
    <row r="28" customFormat="false" ht="15" hidden="false" customHeight="false" outlineLevel="0" collapsed="false">
      <c r="B28" s="77" t="s">
        <v>176</v>
      </c>
      <c r="C28" s="100" t="s">
        <v>12</v>
      </c>
      <c r="D28" s="101" t="s">
        <v>20</v>
      </c>
      <c r="E28" s="102" t="s">
        <v>25</v>
      </c>
      <c r="F28" s="103" t="s">
        <v>36</v>
      </c>
      <c r="G28" s="104" t="s">
        <v>40</v>
      </c>
      <c r="H28" s="105" t="s">
        <v>14</v>
      </c>
      <c r="I28" s="106" t="s">
        <v>46</v>
      </c>
      <c r="J28" s="107" t="s">
        <v>49</v>
      </c>
      <c r="K28" s="108" t="s">
        <v>53</v>
      </c>
      <c r="L28" s="109" t="s">
        <v>56</v>
      </c>
      <c r="M28" s="110" t="s">
        <v>59</v>
      </c>
      <c r="N28" s="111" t="s">
        <v>62</v>
      </c>
      <c r="O28" s="77" t="s">
        <v>177</v>
      </c>
    </row>
    <row r="29" customFormat="false" ht="15" hidden="false" customHeight="false" outlineLevel="0" collapsed="false">
      <c r="B29" s="112" t="str">
        <f aca="false">'Programme de vols'!$W$4</f>
        <v>avril 2027</v>
      </c>
      <c r="C29" s="113" t="n">
        <f aca="false">$C$6*$C$9*C94+$C$7*$C$9*C95+$C$8*$C$9*C96</f>
        <v>16890</v>
      </c>
      <c r="D29" s="113" t="n">
        <f aca="false">$C$6*$C$9*C97+$C$7*$C$9*C98+$C$8*$C$9*C99</f>
        <v>4110</v>
      </c>
      <c r="E29" s="113" t="n">
        <f aca="false">$C$6*$C$9*C100+$C$7*$C$9*C101+$C$8*$C$9*C102</f>
        <v>2096</v>
      </c>
      <c r="F29" s="113" t="n">
        <f aca="false">$C$6*$C$9*C103+$C$7*$C$9*C104+$C$8*$C$9*C105</f>
        <v>4876</v>
      </c>
      <c r="G29" s="113" t="n">
        <f aca="false">$C$6*$C$9*C106+$C$7*$C$9*C107+$C$8*$C$9*C108</f>
        <v>2958</v>
      </c>
      <c r="H29" s="113" t="n">
        <f aca="false">$C$6*$C$9*C109+$C$7*$C$9*C110+$C$8*$C$9*C111</f>
        <v>2262</v>
      </c>
      <c r="I29" s="113" t="n">
        <f aca="false">$C$6*$C$9*C112+$C$7*$C$9*C113+$C$8*$C$9*C114</f>
        <v>2262</v>
      </c>
      <c r="J29" s="113" t="n">
        <f aca="false">$C$6*$C$9*C115+$C$7*$C$9*C116+$C$8*$C$9*C117</f>
        <v>2358</v>
      </c>
      <c r="K29" s="113" t="n">
        <f aca="false">$C$6*$C$9*C118+$C$7*$C$9*C119+$C$8*$C$9*C120</f>
        <v>1310</v>
      </c>
      <c r="L29" s="113" t="n">
        <f aca="false">$C$6*$C$9*C121+$C$7*$C$9*C122+$C$8*$C$9*C123</f>
        <v>1392</v>
      </c>
      <c r="M29" s="113" t="n">
        <f aca="false">$C$6*$C$9*C124+$C$7*$C$9*C125+$C$8*$C$9*C126</f>
        <v>5394</v>
      </c>
      <c r="N29" s="113" t="n">
        <f aca="false">$C$6*$C$9*C127+$C$7*$C$9*C128+$C$8*$C$9*C129</f>
        <v>1392</v>
      </c>
      <c r="O29" s="114" t="n">
        <f aca="false">SUM(C29:N29)</f>
        <v>47300</v>
      </c>
    </row>
    <row r="30" customFormat="false" ht="15" hidden="false" customHeight="false" outlineLevel="0" collapsed="false">
      <c r="B30" s="112" t="str">
        <f aca="false">'Programme de vols'!$W$5</f>
        <v>mai 2027</v>
      </c>
      <c r="C30" s="113" t="n">
        <f aca="false">$C$6*$C$9*D94+$C$7*$C$9*D95+$C$8*$C$9*D96</f>
        <v>17676</v>
      </c>
      <c r="D30" s="113" t="n">
        <f aca="false">$C$6*$C$9*D97+$C$7*$C$9*D98+$C$8*$C$9*D99</f>
        <v>4286</v>
      </c>
      <c r="E30" s="113" t="n">
        <f aca="false">$C$6*$C$9*D100+$C$7*$C$9*D101+$C$8*$C$9*D102</f>
        <v>2358</v>
      </c>
      <c r="F30" s="113" t="n">
        <f aca="false">$C$6*$C$9*D103+$C$7*$C$9*D104+$C$8*$C$9*D105</f>
        <v>4702</v>
      </c>
      <c r="G30" s="113" t="n">
        <f aca="false">$C$6*$C$9*D106+$C$7*$C$9*D107+$C$8*$C$9*D108</f>
        <v>3132</v>
      </c>
      <c r="H30" s="113" t="n">
        <f aca="false">$C$6*$C$9*D109+$C$7*$C$9*D110+$C$8*$C$9*D111</f>
        <v>2436</v>
      </c>
      <c r="I30" s="113" t="n">
        <f aca="false">$C$6*$C$9*D112+$C$7*$C$9*D113+$C$8*$C$9*D114</f>
        <v>2262</v>
      </c>
      <c r="J30" s="113" t="n">
        <f aca="false">$C$6*$C$9*D115+$C$7*$C$9*D116+$C$8*$C$9*D117</f>
        <v>2358</v>
      </c>
      <c r="K30" s="113" t="n">
        <f aca="false">$C$6*$C$9*D118+$C$7*$C$9*D119+$C$8*$C$9*D120</f>
        <v>1048</v>
      </c>
      <c r="L30" s="113" t="n">
        <f aca="false">$C$6*$C$9*D121+$C$7*$C$9*D122+$C$8*$C$9*D123</f>
        <v>1566</v>
      </c>
      <c r="M30" s="113" t="n">
        <f aca="false">$C$6*$C$9*D124+$C$7*$C$9*D125+$C$8*$C$9*D126</f>
        <v>5220</v>
      </c>
      <c r="N30" s="113" t="n">
        <f aca="false">$C$6*$C$9*D127+$C$7*$C$9*D128+$C$8*$C$9*D129</f>
        <v>1566</v>
      </c>
      <c r="O30" s="114" t="n">
        <f aca="false">SUM(C30:N30)</f>
        <v>48610</v>
      </c>
    </row>
    <row r="31" customFormat="false" ht="15" hidden="false" customHeight="false" outlineLevel="0" collapsed="false">
      <c r="B31" s="112" t="str">
        <f aca="false">'Programme de vols'!$W$6</f>
        <v>juin 2027</v>
      </c>
      <c r="C31" s="113" t="n">
        <f aca="false">$C$6*$C$9*E94+$C$7*$C$9*E95+$C$8*$C$9*E96</f>
        <v>16628</v>
      </c>
      <c r="D31" s="113" t="n">
        <f aca="false">$C$6*$C$9*E97+$C$7*$C$9*E98+$C$8*$C$9*E99</f>
        <v>4110</v>
      </c>
      <c r="E31" s="113" t="n">
        <f aca="false">$C$6*$C$9*E100+$C$7*$C$9*E101+$C$8*$C$9*E102</f>
        <v>2358</v>
      </c>
      <c r="F31" s="113" t="n">
        <f aca="false">$C$6*$C$9*E103+$C$7*$C$9*E104+$C$8*$C$9*E105</f>
        <v>5138</v>
      </c>
      <c r="G31" s="113" t="n">
        <f aca="false">$C$6*$C$9*E106+$C$7*$C$9*E107+$C$8*$C$9*E108</f>
        <v>2958</v>
      </c>
      <c r="H31" s="113" t="n">
        <f aca="false">$C$6*$C$9*E109+$C$7*$C$9*E110+$C$8*$C$9*E111</f>
        <v>2088</v>
      </c>
      <c r="I31" s="113" t="n">
        <f aca="false">$C$6*$C$9*E112+$C$7*$C$9*E113+$C$8*$C$9*E114</f>
        <v>2262</v>
      </c>
      <c r="J31" s="113" t="n">
        <f aca="false">$C$6*$C$9*E115+$C$7*$C$9*E116+$C$8*$C$9*E117</f>
        <v>2096</v>
      </c>
      <c r="K31" s="113" t="n">
        <f aca="false">$C$6*$C$9*E118+$C$7*$C$9*E119+$C$8*$C$9*E120</f>
        <v>1048</v>
      </c>
      <c r="L31" s="113" t="n">
        <f aca="false">$C$6*$C$9*E121+$C$7*$C$9*E122+$C$8*$C$9*E123</f>
        <v>1566</v>
      </c>
      <c r="M31" s="113" t="n">
        <f aca="false">$C$6*$C$9*E124+$C$7*$C$9*E125+$C$8*$C$9*E126</f>
        <v>5220</v>
      </c>
      <c r="N31" s="113" t="n">
        <f aca="false">$C$6*$C$9*E127+$C$7*$C$9*E128+$C$8*$C$9*E129</f>
        <v>1566</v>
      </c>
      <c r="O31" s="114" t="n">
        <f aca="false">SUM(C31:N31)</f>
        <v>47038</v>
      </c>
    </row>
    <row r="32" customFormat="false" ht="15" hidden="false" customHeight="false" outlineLevel="0" collapsed="false">
      <c r="B32" s="112" t="str">
        <f aca="false">'Programme de vols'!$W$7</f>
        <v>juillet 2027</v>
      </c>
      <c r="C32" s="113" t="n">
        <f aca="false">$C$6*$C$9*F94+$C$7*$C$9*F95+$C$8*$C$9*F96</f>
        <v>17328</v>
      </c>
      <c r="D32" s="113" t="n">
        <f aca="false">$C$6*$C$9*F97+$C$7*$C$9*F98+$C$8*$C$9*F99</f>
        <v>4110</v>
      </c>
      <c r="E32" s="113" t="n">
        <f aca="false">$C$6*$C$9*F100+$C$7*$C$9*F101+$C$8*$C$9*F102</f>
        <v>2358</v>
      </c>
      <c r="F32" s="113" t="n">
        <f aca="false">$C$6*$C$9*F103+$C$7*$C$9*F104+$C$8*$C$9*F105</f>
        <v>4876</v>
      </c>
      <c r="G32" s="113" t="n">
        <f aca="false">$C$6*$C$9*F106+$C$7*$C$9*F107+$C$8*$C$9*F108</f>
        <v>2958</v>
      </c>
      <c r="H32" s="113" t="n">
        <f aca="false">$C$6*$C$9*F109+$C$7*$C$9*F110+$C$8*$C$9*F111</f>
        <v>3132</v>
      </c>
      <c r="I32" s="113" t="n">
        <f aca="false">$C$6*$C$9*F112+$C$7*$C$9*F113+$C$8*$C$9*F114</f>
        <v>2436</v>
      </c>
      <c r="J32" s="113" t="n">
        <f aca="false">$C$6*$C$9*F115+$C$7*$C$9*F116+$C$8*$C$9*F117</f>
        <v>2358</v>
      </c>
      <c r="K32" s="113" t="n">
        <f aca="false">$C$6*$C$9*F118+$C$7*$C$9*F119+$C$8*$C$9*F120</f>
        <v>1310</v>
      </c>
      <c r="L32" s="113" t="n">
        <f aca="false">$C$6*$C$9*F121+$C$7*$C$9*F122+$C$8*$C$9*F123</f>
        <v>1566</v>
      </c>
      <c r="M32" s="113" t="n">
        <f aca="false">$C$6*$C$9*F124+$C$7*$C$9*F125+$C$8*$C$9*F126</f>
        <v>5568</v>
      </c>
      <c r="N32" s="113" t="n">
        <f aca="false">$C$6*$C$9*F127+$C$7*$C$9*F128+$C$8*$C$9*F129</f>
        <v>1392</v>
      </c>
      <c r="O32" s="114" t="n">
        <f aca="false">SUM(C32:N32)</f>
        <v>49392</v>
      </c>
    </row>
    <row r="33" customFormat="false" ht="15" hidden="false" customHeight="false" outlineLevel="0" collapsed="false">
      <c r="B33" s="112" t="str">
        <f aca="false">'Programme de vols'!$W$8</f>
        <v>aout 2027</v>
      </c>
      <c r="C33" s="113" t="n">
        <f aca="false">$C$6*$C$9*G94+$C$7*$C$9*G95+$C$8*$C$9*G96</f>
        <v>21700</v>
      </c>
      <c r="D33" s="113" t="n">
        <f aca="false">$C$6*$C$9*G97+$C$7*$C$9*G98+$C$8*$C$9*G99</f>
        <v>4548</v>
      </c>
      <c r="E33" s="113" t="n">
        <f aca="false">$C$6*$C$9*G100+$C$7*$C$9*G101+$C$8*$C$9*G102</f>
        <v>2096</v>
      </c>
      <c r="F33" s="113" t="n">
        <f aca="false">$C$6*$C$9*G103+$C$7*$C$9*G104+$C$8*$C$9*G105</f>
        <v>4876</v>
      </c>
      <c r="G33" s="113" t="n">
        <f aca="false">$C$6*$C$9*G106+$C$7*$C$9*G107+$C$8*$C$9*G108</f>
        <v>3132</v>
      </c>
      <c r="H33" s="113" t="n">
        <f aca="false">$C$6*$C$9*G109+$C$7*$C$9*G110+$C$8*$C$9*G111</f>
        <v>2262</v>
      </c>
      <c r="I33" s="113" t="n">
        <f aca="false">$C$6*$C$9*G112+$C$7*$C$9*G113+$C$8*$C$9*G114</f>
        <v>2262</v>
      </c>
      <c r="J33" s="113" t="n">
        <f aca="false">$C$6*$C$9*G115+$C$7*$C$9*G116+$C$8*$C$9*G117</f>
        <v>2358</v>
      </c>
      <c r="K33" s="113" t="n">
        <f aca="false">$C$6*$C$9*G118+$C$7*$C$9*G119+$C$8*$C$9*G120</f>
        <v>1048</v>
      </c>
      <c r="L33" s="113" t="n">
        <f aca="false">$C$6*$C$9*G121+$C$7*$C$9*G122+$C$8*$C$9*G123</f>
        <v>1566</v>
      </c>
      <c r="M33" s="113" t="n">
        <f aca="false">$C$6*$C$9*G124+$C$7*$C$9*G125+$C$8*$C$9*G126</f>
        <v>5220</v>
      </c>
      <c r="N33" s="113" t="n">
        <f aca="false">$C$6*$C$9*G127+$C$7*$C$9*G128+$C$8*$C$9*G129</f>
        <v>1566</v>
      </c>
      <c r="O33" s="114" t="n">
        <f aca="false">SUM(C33:N33)</f>
        <v>52634</v>
      </c>
    </row>
    <row r="34" customFormat="false" ht="15" hidden="false" customHeight="false" outlineLevel="0" collapsed="false">
      <c r="B34" s="112" t="str">
        <f aca="false">'Programme de vols'!$W$9</f>
        <v>septembre 2027</v>
      </c>
      <c r="C34" s="113" t="n">
        <f aca="false">$C$6*$C$9*H94+$C$7*$C$9*H95+$C$8*$C$9*H96</f>
        <v>16628</v>
      </c>
      <c r="D34" s="113" t="n">
        <f aca="false">$C$6*$C$9*H97+$C$7*$C$9*H98+$C$8*$C$9*H99</f>
        <v>3848</v>
      </c>
      <c r="E34" s="113" t="n">
        <f aca="false">$C$6*$C$9*H100+$C$7*$C$9*H101+$C$8*$C$9*H102</f>
        <v>2358</v>
      </c>
      <c r="F34" s="113" t="n">
        <f aca="false">$C$6*$C$9*H103+$C$7*$C$9*H104+$C$8*$C$9*H105</f>
        <v>5138</v>
      </c>
      <c r="G34" s="113" t="n">
        <f aca="false">$C$6*$C$9*H106+$C$7*$C$9*H107+$C$8*$C$9*H108</f>
        <v>2958</v>
      </c>
      <c r="H34" s="113" t="n">
        <f aca="false">$C$6*$C$9*H109+$C$7*$C$9*H110+$C$8*$C$9*H111</f>
        <v>2262</v>
      </c>
      <c r="I34" s="113" t="n">
        <f aca="false">$C$6*$C$9*H112+$C$7*$C$9*H113+$C$8*$C$9*H114</f>
        <v>2262</v>
      </c>
      <c r="J34" s="113" t="n">
        <f aca="false">$C$6*$C$9*H115+$C$7*$C$9*H116+$C$8*$C$9*H117</f>
        <v>2096</v>
      </c>
      <c r="K34" s="113" t="n">
        <f aca="false">$C$6*$C$9*H118+$C$7*$C$9*H119+$C$8*$C$9*H120</f>
        <v>1310</v>
      </c>
      <c r="L34" s="113" t="n">
        <f aca="false">$C$6*$C$9*H121+$C$7*$C$9*H122+$C$8*$C$9*H123</f>
        <v>1392</v>
      </c>
      <c r="M34" s="113" t="n">
        <f aca="false">$C$6*$C$9*H124+$C$7*$C$9*H125+$C$8*$C$9*H126</f>
        <v>5394</v>
      </c>
      <c r="N34" s="113" t="n">
        <f aca="false">$C$6*$C$9*H127+$C$7*$C$9*H128+$C$8*$C$9*H129</f>
        <v>1566</v>
      </c>
      <c r="O34" s="114" t="n">
        <f aca="false">SUM(C34:N34)</f>
        <v>47212</v>
      </c>
    </row>
    <row r="35" customFormat="false" ht="15" hidden="false" customHeight="false" outlineLevel="0" collapsed="false">
      <c r="B35" s="112" t="str">
        <f aca="false">'Programme de vols'!$W$10</f>
        <v>octobre 2027</v>
      </c>
      <c r="C35" s="113" t="n">
        <f aca="false">$C$6*$C$9*I94+$C$7*$C$9*I95+$C$8*$C$9*I96</f>
        <v>17328</v>
      </c>
      <c r="D35" s="113" t="n">
        <f aca="false">$C$6*$C$9*I97+$C$7*$C$9*I98+$C$8*$C$9*I99</f>
        <v>4548</v>
      </c>
      <c r="E35" s="113" t="n">
        <f aca="false">$C$6*$C$9*I100+$C$7*$C$9*I101+$C$8*$C$9*I102</f>
        <v>2358</v>
      </c>
      <c r="F35" s="113" t="n">
        <f aca="false">$C$6*$C$9*I103+$C$7*$C$9*I104+$C$8*$C$9*I105</f>
        <v>4702</v>
      </c>
      <c r="G35" s="113" t="n">
        <f aca="false">$C$6*$C$9*I106+$C$7*$C$9*I107+$C$8*$C$9*I108</f>
        <v>3132</v>
      </c>
      <c r="H35" s="113" t="n">
        <f aca="false">$C$6*$C$9*I109+$C$7*$C$9*I110+$C$8*$C$9*I111</f>
        <v>2262</v>
      </c>
      <c r="I35" s="113" t="n">
        <f aca="false">$C$6*$C$9*I112+$C$7*$C$9*I113+$C$8*$C$9*I114</f>
        <v>2262</v>
      </c>
      <c r="J35" s="113" t="n">
        <f aca="false">$C$6*$C$9*I115+$C$7*$C$9*I116+$C$8*$C$9*I117</f>
        <v>2358</v>
      </c>
      <c r="K35" s="113" t="n">
        <f aca="false">$C$6*$C$9*I118+$C$7*$C$9*I119+$C$8*$C$9*I120</f>
        <v>1048</v>
      </c>
      <c r="L35" s="113" t="n">
        <f aca="false">$C$6*$C$9*I121+$C$7*$C$9*I122+$C$8*$C$9*I123</f>
        <v>1566</v>
      </c>
      <c r="M35" s="113" t="n">
        <f aca="false">$C$6*$C$9*I124+$C$7*$C$9*I125+$C$8*$C$9*I126</f>
        <v>5220</v>
      </c>
      <c r="N35" s="113" t="n">
        <f aca="false">$C$6*$C$9*I127+$C$7*$C$9*I128+$C$8*$C$9*I129</f>
        <v>1566</v>
      </c>
      <c r="O35" s="114" t="n">
        <f aca="false">SUM(C35:N35)</f>
        <v>48350</v>
      </c>
    </row>
    <row r="36" customFormat="false" ht="15" hidden="false" customHeight="false" outlineLevel="0" collapsed="false">
      <c r="B36" s="112" t="str">
        <f aca="false">'Programme de vols'!$W$11</f>
        <v>novembre 2027</v>
      </c>
      <c r="C36" s="113" t="n">
        <f aca="false">$C$6*$C$9*J94+$C$7*$C$9*J95+$C$8*$C$9*J96</f>
        <v>17238</v>
      </c>
      <c r="D36" s="113" t="n">
        <f aca="false">$C$6*$C$9*J97+$C$7*$C$9*J98+$C$8*$C$9*J99</f>
        <v>4110</v>
      </c>
      <c r="E36" s="113" t="n">
        <f aca="false">$C$6*$C$9*J100+$C$7*$C$9*J101+$C$8*$C$9*J102</f>
        <v>2096</v>
      </c>
      <c r="F36" s="113" t="n">
        <f aca="false">$C$6*$C$9*J103+$C$7*$C$9*J104+$C$8*$C$9*J105</f>
        <v>4876</v>
      </c>
      <c r="G36" s="113" t="n">
        <f aca="false">$C$6*$C$9*J106+$C$7*$C$9*J107+$C$8*$C$9*J108</f>
        <v>2958</v>
      </c>
      <c r="H36" s="113" t="n">
        <f aca="false">$C$6*$C$9*J109+$C$7*$C$9*J110+$C$8*$C$9*J111</f>
        <v>2262</v>
      </c>
      <c r="I36" s="113" t="n">
        <f aca="false">$C$6*$C$9*J112+$C$7*$C$9*J113+$C$8*$C$9*J114</f>
        <v>2262</v>
      </c>
      <c r="J36" s="113" t="n">
        <f aca="false">$C$6*$C$9*J115+$C$7*$C$9*J116+$C$8*$C$9*J117</f>
        <v>2358</v>
      </c>
      <c r="K36" s="113" t="n">
        <f aca="false">$C$6*$C$9*J118+$C$7*$C$9*J119+$C$8*$C$9*J120</f>
        <v>1048</v>
      </c>
      <c r="L36" s="113" t="n">
        <f aca="false">$C$6*$C$9*J121+$C$7*$C$9*J122+$C$8*$C$9*J123</f>
        <v>1566</v>
      </c>
      <c r="M36" s="113" t="n">
        <f aca="false">$C$6*$C$9*J124+$C$7*$C$9*J125+$C$8*$C$9*J126</f>
        <v>5220</v>
      </c>
      <c r="N36" s="113" t="n">
        <f aca="false">$C$6*$C$9*J127+$C$7*$C$9*J128+$C$8*$C$9*J129</f>
        <v>1392</v>
      </c>
      <c r="O36" s="114" t="n">
        <f aca="false">SUM(C36:N36)</f>
        <v>47386</v>
      </c>
    </row>
    <row r="37" customFormat="false" ht="15" hidden="false" customHeight="false" outlineLevel="0" collapsed="false">
      <c r="B37" s="112" t="str">
        <f aca="false">'Programme de vols'!$W$12</f>
        <v>decembre 2027</v>
      </c>
      <c r="C37" s="113" t="n">
        <f aca="false">$C$6*$C$9*K94+$C$7*$C$9*K95+$C$8*$C$9*K96</f>
        <v>17328</v>
      </c>
      <c r="D37" s="113" t="n">
        <f aca="false">$C$6*$C$9*K97+$C$7*$C$9*K98+$C$8*$C$9*K99</f>
        <v>4110</v>
      </c>
      <c r="E37" s="113" t="n">
        <f aca="false">$C$6*$C$9*K100+$C$7*$C$9*K101+$C$8*$C$9*K102</f>
        <v>2358</v>
      </c>
      <c r="F37" s="113" t="n">
        <f aca="false">$C$6*$C$9*K103+$C$7*$C$9*K104+$C$8*$C$9*K105</f>
        <v>5312</v>
      </c>
      <c r="G37" s="113" t="n">
        <f aca="false">$C$6*$C$9*K106+$C$7*$C$9*K107+$C$8*$C$9*K108</f>
        <v>3132</v>
      </c>
      <c r="H37" s="113" t="n">
        <f aca="false">$C$6*$C$9*K109+$C$7*$C$9*K110+$C$8*$C$9*K111</f>
        <v>3654</v>
      </c>
      <c r="I37" s="113" t="n">
        <f aca="false">$C$6*$C$9*K112+$C$7*$C$9*K113+$C$8*$C$9*K114</f>
        <v>2262</v>
      </c>
      <c r="J37" s="113" t="n">
        <f aca="false">$C$6*$C$9*K115+$C$7*$C$9*K116+$C$8*$C$9*K117</f>
        <v>2358</v>
      </c>
      <c r="K37" s="113" t="n">
        <f aca="false">$C$6*$C$9*K118+$C$7*$C$9*K119+$C$8*$C$9*K120</f>
        <v>1310</v>
      </c>
      <c r="L37" s="113" t="n">
        <f aca="false">$C$6*$C$9*K121+$C$7*$C$9*K122+$C$8*$C$9*K123</f>
        <v>1392</v>
      </c>
      <c r="M37" s="113" t="n">
        <f aca="false">$C$6*$C$9*K124+$C$7*$C$9*K125+$C$8*$C$9*K126</f>
        <v>5568</v>
      </c>
      <c r="N37" s="113" t="n">
        <f aca="false">$C$6*$C$9*K127+$C$7*$C$9*K128+$C$8*$C$9*K129</f>
        <v>1566</v>
      </c>
      <c r="O37" s="114" t="n">
        <f aca="false">SUM(C37:N37)</f>
        <v>50350</v>
      </c>
    </row>
    <row r="38" customFormat="false" ht="15" hidden="false" customHeight="false" outlineLevel="0" collapsed="false">
      <c r="B38" s="112" t="str">
        <f aca="false">'Programme de vols'!$W$13</f>
        <v>janvier 2028</v>
      </c>
      <c r="C38" s="113" t="n">
        <f aca="false">$C$6*$C$9*L94+$C$7*$C$9*L95+$C$8*$C$9*L96</f>
        <v>17676</v>
      </c>
      <c r="D38" s="113" t="n">
        <f aca="false">$C$6*$C$9*L97+$C$7*$C$9*L98+$C$8*$C$9*L99</f>
        <v>4286</v>
      </c>
      <c r="E38" s="113" t="n">
        <f aca="false">$C$6*$C$9*L100+$C$7*$C$9*L101+$C$8*$C$9*L102</f>
        <v>2358</v>
      </c>
      <c r="F38" s="113" t="n">
        <f aca="false">$C$6*$C$9*L103+$C$7*$C$9*L104+$C$8*$C$9*L105</f>
        <v>4702</v>
      </c>
      <c r="G38" s="113" t="n">
        <f aca="false">$C$6*$C$9*L106+$C$7*$C$9*L107+$C$8*$C$9*L108</f>
        <v>3132</v>
      </c>
      <c r="H38" s="113" t="n">
        <f aca="false">$C$6*$C$9*L109+$C$7*$C$9*L110+$C$8*$C$9*L111</f>
        <v>2436</v>
      </c>
      <c r="I38" s="113" t="n">
        <f aca="false">$C$6*$C$9*L112+$C$7*$C$9*L113+$C$8*$C$9*L114</f>
        <v>2262</v>
      </c>
      <c r="J38" s="113" t="n">
        <f aca="false">$C$6*$C$9*L115+$C$7*$C$9*L116+$C$8*$C$9*L117</f>
        <v>2358</v>
      </c>
      <c r="K38" s="113" t="n">
        <f aca="false">$C$6*$C$9*L118+$C$7*$C$9*L119+$C$8*$C$9*L120</f>
        <v>1048</v>
      </c>
      <c r="L38" s="113" t="n">
        <f aca="false">$C$6*$C$9*L121+$C$7*$C$9*L122+$C$8*$C$9*L123</f>
        <v>1566</v>
      </c>
      <c r="M38" s="113" t="n">
        <f aca="false">$C$6*$C$9*L124+$C$7*$C$9*L125+$C$8*$C$9*L126</f>
        <v>5220</v>
      </c>
      <c r="N38" s="113" t="n">
        <f aca="false">$C$6*$C$9*L127+$C$7*$C$9*L128+$C$8*$C$9*L129</f>
        <v>1566</v>
      </c>
      <c r="O38" s="114" t="n">
        <f aca="false">SUM(C38:N38)</f>
        <v>48610</v>
      </c>
    </row>
    <row r="39" customFormat="false" ht="15" hidden="false" customHeight="false" outlineLevel="0" collapsed="false">
      <c r="B39" s="112" t="str">
        <f aca="false">'Programme de vols'!$W$14</f>
        <v>fevrier 2028</v>
      </c>
      <c r="C39" s="113" t="n">
        <f aca="false">$C$6*$C$9*M94+$C$7*$C$9*M95+$C$8*$C$9*M96</f>
        <v>16190</v>
      </c>
      <c r="D39" s="113" t="n">
        <f aca="false">$C$6*$C$9*M97+$C$7*$C$9*M98+$C$8*$C$9*M99</f>
        <v>4110</v>
      </c>
      <c r="E39" s="113" t="n">
        <f aca="false">$C$6*$C$9*M100+$C$7*$C$9*M101+$C$8*$C$9*M102</f>
        <v>2096</v>
      </c>
      <c r="F39" s="113" t="n">
        <f aca="false">$C$6*$C$9*M103+$C$7*$C$9*M104+$C$8*$C$9*M105</f>
        <v>4702</v>
      </c>
      <c r="G39" s="113" t="n">
        <f aca="false">$C$6*$C$9*M106+$C$7*$C$9*M107+$C$8*$C$9*M108</f>
        <v>2784</v>
      </c>
      <c r="H39" s="113" t="n">
        <f aca="false">$C$6*$C$9*M109+$C$7*$C$9*M110+$C$8*$C$9*M111</f>
        <v>2088</v>
      </c>
      <c r="I39" s="113" t="n">
        <f aca="false">$C$6*$C$9*M112+$C$7*$C$9*M113+$C$8*$C$9*M114</f>
        <v>2262</v>
      </c>
      <c r="J39" s="113" t="n">
        <f aca="false">$C$6*$C$9*M115+$C$7*$C$9*M116+$C$8*$C$9*M117</f>
        <v>2096</v>
      </c>
      <c r="K39" s="113" t="n">
        <f aca="false">$C$6*$C$9*M118+$C$7*$C$9*M119+$C$8*$C$9*M120</f>
        <v>1048</v>
      </c>
      <c r="L39" s="113" t="n">
        <f aca="false">$C$6*$C$9*M121+$C$7*$C$9*M122+$C$8*$C$9*M123</f>
        <v>1566</v>
      </c>
      <c r="M39" s="113" t="n">
        <f aca="false">$C$6*$C$9*M124+$C$7*$C$9*M125+$C$8*$C$9*M126</f>
        <v>5046</v>
      </c>
      <c r="N39" s="113" t="n">
        <f aca="false">$C$6*$C$9*M127+$C$7*$C$9*M128+$C$8*$C$9*M129</f>
        <v>1392</v>
      </c>
      <c r="O39" s="114" t="n">
        <f aca="false">SUM(C39:N39)</f>
        <v>45380</v>
      </c>
    </row>
    <row r="40" customFormat="false" ht="15" hidden="false" customHeight="false" outlineLevel="0" collapsed="false">
      <c r="B40" s="112" t="str">
        <f aca="false">'Programme de vols'!$W$15</f>
        <v>mars 2028</v>
      </c>
      <c r="C40" s="113" t="n">
        <f aca="false">$C$6*$C$9*N94+$C$7*$C$9*N95+$C$8*$C$9*N96</f>
        <v>17328</v>
      </c>
      <c r="D40" s="113" t="n">
        <f aca="false">$C$6*$C$9*N97+$C$7*$C$9*N98+$C$8*$C$9*N99</f>
        <v>4110</v>
      </c>
      <c r="E40" s="113" t="n">
        <f aca="false">$C$6*$C$9*N100+$C$7*$C$9*N101+$C$8*$C$9*N102</f>
        <v>2358</v>
      </c>
      <c r="F40" s="113" t="n">
        <f aca="false">$C$6*$C$9*N103+$C$7*$C$9*N104+$C$8*$C$9*N105</f>
        <v>5312</v>
      </c>
      <c r="G40" s="113" t="n">
        <f aca="false">$C$6*$C$9*N106+$C$7*$C$9*N107+$C$8*$C$9*N108</f>
        <v>3132</v>
      </c>
      <c r="H40" s="113" t="n">
        <f aca="false">$C$6*$C$9*N109+$C$7*$C$9*N110+$C$8*$C$9*N111</f>
        <v>2262</v>
      </c>
      <c r="I40" s="113" t="n">
        <f aca="false">$C$6*$C$9*N112+$C$7*$C$9*N113+$C$8*$C$9*N114</f>
        <v>2262</v>
      </c>
      <c r="J40" s="113" t="n">
        <f aca="false">$C$6*$C$9*N115+$C$7*$C$9*N116+$C$8*$C$9*N117</f>
        <v>2358</v>
      </c>
      <c r="K40" s="113" t="n">
        <f aca="false">$C$6*$C$9*N118+$C$7*$C$9*N119+$C$8*$C$9*N120</f>
        <v>1310</v>
      </c>
      <c r="L40" s="113" t="n">
        <f aca="false">$C$6*$C$9*N121+$C$7*$C$9*N122+$C$8*$C$9*N123</f>
        <v>1392</v>
      </c>
      <c r="M40" s="113" t="n">
        <f aca="false">$C$6*$C$9*N124+$C$7*$C$9*N125+$C$8*$C$9*N126</f>
        <v>5568</v>
      </c>
      <c r="N40" s="113" t="n">
        <f aca="false">$C$6*$C$9*N127+$C$7*$C$9*N128+$C$8*$C$9*N129</f>
        <v>1566</v>
      </c>
      <c r="O40" s="114" t="n">
        <f aca="false">SUM(C40:N40)</f>
        <v>48958</v>
      </c>
    </row>
    <row r="41" customFormat="false" ht="15" hidden="false" customHeight="false" outlineLevel="0" collapsed="false">
      <c r="B41" s="115" t="s">
        <v>178</v>
      </c>
      <c r="C41" s="116" t="n">
        <f aca="false">SUM(C29:C40)</f>
        <v>209938</v>
      </c>
      <c r="D41" s="116" t="n">
        <f aca="false">SUM(D29:D40)</f>
        <v>50286</v>
      </c>
      <c r="E41" s="116" t="n">
        <f aca="false">SUM(E29:E40)</f>
        <v>27248</v>
      </c>
      <c r="F41" s="116" t="n">
        <f aca="false">SUM(F29:F40)</f>
        <v>59212</v>
      </c>
      <c r="G41" s="116" t="n">
        <f aca="false">SUM(G29:G40)</f>
        <v>36366</v>
      </c>
      <c r="H41" s="116" t="n">
        <f aca="false">SUM(H29:H40)</f>
        <v>29406</v>
      </c>
      <c r="I41" s="116" t="n">
        <f aca="false">SUM(I29:I40)</f>
        <v>27318</v>
      </c>
      <c r="J41" s="116" t="n">
        <f aca="false">SUM(J29:J40)</f>
        <v>27510</v>
      </c>
      <c r="K41" s="116" t="n">
        <f aca="false">SUM(K29:K40)</f>
        <v>13886</v>
      </c>
      <c r="L41" s="116" t="n">
        <f aca="false">SUM(L29:L40)</f>
        <v>18096</v>
      </c>
      <c r="M41" s="116" t="n">
        <f aca="false">SUM(M29:M40)</f>
        <v>63858</v>
      </c>
      <c r="N41" s="116" t="n">
        <f aca="false">SUM(N29:N40)</f>
        <v>18096</v>
      </c>
      <c r="O41" s="116" t="n">
        <f aca="false">SUM(O29:O40)</f>
        <v>581220</v>
      </c>
    </row>
    <row r="44" customFormat="false" ht="15" hidden="false" customHeight="false" outlineLevel="0" collapsed="false">
      <c r="B44" s="14" t="s">
        <v>179</v>
      </c>
      <c r="C44" s="14"/>
      <c r="D44" s="14"/>
      <c r="E44" s="14"/>
      <c r="F44" s="14"/>
      <c r="G44" s="14"/>
      <c r="H44" s="14"/>
      <c r="I44" s="14"/>
      <c r="J44" s="14"/>
      <c r="K44" s="14"/>
      <c r="L44" s="14"/>
      <c r="M44" s="14"/>
      <c r="N44" s="14"/>
      <c r="O44" s="14"/>
    </row>
    <row r="45" customFormat="false" ht="15" hidden="false" customHeight="false" outlineLevel="0" collapsed="false">
      <c r="B45" s="77" t="s">
        <v>176</v>
      </c>
      <c r="C45" s="100" t="s">
        <v>12</v>
      </c>
      <c r="D45" s="101" t="s">
        <v>20</v>
      </c>
      <c r="E45" s="102" t="s">
        <v>25</v>
      </c>
      <c r="F45" s="103" t="s">
        <v>36</v>
      </c>
      <c r="G45" s="104" t="s">
        <v>40</v>
      </c>
      <c r="H45" s="105" t="s">
        <v>14</v>
      </c>
      <c r="I45" s="106" t="s">
        <v>46</v>
      </c>
      <c r="J45" s="107" t="s">
        <v>49</v>
      </c>
      <c r="K45" s="108" t="s">
        <v>53</v>
      </c>
      <c r="L45" s="109" t="s">
        <v>56</v>
      </c>
      <c r="M45" s="110" t="s">
        <v>59</v>
      </c>
      <c r="N45" s="111" t="s">
        <v>62</v>
      </c>
      <c r="O45" s="77" t="s">
        <v>177</v>
      </c>
    </row>
    <row r="46" customFormat="false" ht="15" hidden="false" customHeight="false" outlineLevel="0" collapsed="false">
      <c r="B46" s="112" t="str">
        <f aca="false">'Programme de vols'!$W$4</f>
        <v>avril 2027</v>
      </c>
      <c r="C46" s="113" t="n">
        <f aca="false">SUM(C94:C96)</f>
        <v>47</v>
      </c>
      <c r="D46" s="113" t="n">
        <f aca="false">SUM(C97:C99)</f>
        <v>13</v>
      </c>
      <c r="E46" s="113" t="n">
        <f aca="false">SUM(C100:C102)</f>
        <v>8</v>
      </c>
      <c r="F46" s="113" t="n">
        <f aca="false">SUM(C103:C105)</f>
        <v>26</v>
      </c>
      <c r="G46" s="113" t="n">
        <f aca="false">SUM(C106:C108)</f>
        <v>17</v>
      </c>
      <c r="H46" s="113" t="n">
        <f aca="false">SUM(C109:C111)</f>
        <v>13</v>
      </c>
      <c r="I46" s="113" t="n">
        <f aca="false">SUM(C112:C114)</f>
        <v>13</v>
      </c>
      <c r="J46" s="113" t="n">
        <f aca="false">SUM(C115:C117)</f>
        <v>9</v>
      </c>
      <c r="K46" s="113" t="n">
        <f aca="false">SUM(C118:C120)</f>
        <v>5</v>
      </c>
      <c r="L46" s="113" t="n">
        <f aca="false">SUM(C121:C123)</f>
        <v>8</v>
      </c>
      <c r="M46" s="113" t="n">
        <f aca="false">SUM(C124:C126)</f>
        <v>31</v>
      </c>
      <c r="N46" s="113" t="n">
        <f aca="false">SUM(C127:C129)</f>
        <v>8</v>
      </c>
      <c r="O46" s="114" t="n">
        <f aca="false">SUM(C46:N46)</f>
        <v>198</v>
      </c>
    </row>
    <row r="47" customFormat="false" ht="15" hidden="false" customHeight="false" outlineLevel="0" collapsed="false">
      <c r="B47" s="112" t="str">
        <f aca="false">'Programme de vols'!$W$5</f>
        <v>mai 2027</v>
      </c>
      <c r="C47" s="113" t="n">
        <f aca="false">SUM(D94:D96)</f>
        <v>50</v>
      </c>
      <c r="D47" s="113" t="n">
        <f aca="false">SUM(D97:D99)</f>
        <v>13</v>
      </c>
      <c r="E47" s="113" t="n">
        <f aca="false">SUM(D100:D102)</f>
        <v>9</v>
      </c>
      <c r="F47" s="113" t="n">
        <f aca="false">SUM(D103:D105)</f>
        <v>25</v>
      </c>
      <c r="G47" s="113" t="n">
        <f aca="false">SUM(D106:D108)</f>
        <v>18</v>
      </c>
      <c r="H47" s="113" t="n">
        <f aca="false">SUM(D109:D111)</f>
        <v>14</v>
      </c>
      <c r="I47" s="113" t="n">
        <f aca="false">SUM(D112:D114)</f>
        <v>13</v>
      </c>
      <c r="J47" s="113" t="n">
        <f aca="false">SUM(D115:D117)</f>
        <v>9</v>
      </c>
      <c r="K47" s="113" t="n">
        <f aca="false">SUM(D118:D120)</f>
        <v>4</v>
      </c>
      <c r="L47" s="113" t="n">
        <f aca="false">SUM(D121:D123)</f>
        <v>9</v>
      </c>
      <c r="M47" s="113" t="n">
        <f aca="false">SUM(D124:D126)</f>
        <v>30</v>
      </c>
      <c r="N47" s="113" t="n">
        <f aca="false">SUM(D127:D129)</f>
        <v>9</v>
      </c>
      <c r="O47" s="114" t="n">
        <f aca="false">SUM(C47:N47)</f>
        <v>203</v>
      </c>
    </row>
    <row r="48" customFormat="false" ht="15" hidden="false" customHeight="false" outlineLevel="0" collapsed="false">
      <c r="B48" s="112" t="str">
        <f aca="false">'Programme de vols'!$W$6</f>
        <v>juin 2027</v>
      </c>
      <c r="C48" s="113" t="n">
        <f aca="false">SUM(E94:E96)</f>
        <v>46</v>
      </c>
      <c r="D48" s="113" t="n">
        <f aca="false">SUM(E97:E99)</f>
        <v>13</v>
      </c>
      <c r="E48" s="113" t="n">
        <f aca="false">SUM(E100:E102)</f>
        <v>9</v>
      </c>
      <c r="F48" s="113" t="n">
        <f aca="false">SUM(E103:E105)</f>
        <v>27</v>
      </c>
      <c r="G48" s="113" t="n">
        <f aca="false">SUM(E106:E108)</f>
        <v>17</v>
      </c>
      <c r="H48" s="113" t="n">
        <f aca="false">SUM(E109:E111)</f>
        <v>12</v>
      </c>
      <c r="I48" s="113" t="n">
        <f aca="false">SUM(E112:E114)</f>
        <v>13</v>
      </c>
      <c r="J48" s="113" t="n">
        <f aca="false">SUM(E115:E117)</f>
        <v>8</v>
      </c>
      <c r="K48" s="113" t="n">
        <f aca="false">SUM(E118:E120)</f>
        <v>4</v>
      </c>
      <c r="L48" s="113" t="n">
        <f aca="false">SUM(E121:E123)</f>
        <v>9</v>
      </c>
      <c r="M48" s="113" t="n">
        <f aca="false">SUM(E124:E126)</f>
        <v>30</v>
      </c>
      <c r="N48" s="113" t="n">
        <f aca="false">SUM(E127:E129)</f>
        <v>9</v>
      </c>
      <c r="O48" s="114" t="n">
        <f aca="false">SUM(C48:N48)</f>
        <v>197</v>
      </c>
    </row>
    <row r="49" customFormat="false" ht="15" hidden="false" customHeight="false" outlineLevel="0" collapsed="false">
      <c r="B49" s="112" t="str">
        <f aca="false">'Programme de vols'!$W$7</f>
        <v>juillet 2027</v>
      </c>
      <c r="C49" s="113" t="n">
        <f aca="false">SUM(F94:F96)</f>
        <v>48</v>
      </c>
      <c r="D49" s="113" t="n">
        <f aca="false">SUM(F97:F99)</f>
        <v>13</v>
      </c>
      <c r="E49" s="113" t="n">
        <f aca="false">SUM(F100:F102)</f>
        <v>9</v>
      </c>
      <c r="F49" s="113" t="n">
        <f aca="false">SUM(F103:F105)</f>
        <v>26</v>
      </c>
      <c r="G49" s="113" t="n">
        <f aca="false">SUM(F106:F108)</f>
        <v>17</v>
      </c>
      <c r="H49" s="113" t="n">
        <f aca="false">SUM(F109:F111)</f>
        <v>18</v>
      </c>
      <c r="I49" s="113" t="n">
        <f aca="false">SUM(F112:F114)</f>
        <v>14</v>
      </c>
      <c r="J49" s="113" t="n">
        <f aca="false">SUM(F115:F117)</f>
        <v>9</v>
      </c>
      <c r="K49" s="113" t="n">
        <f aca="false">SUM(F118:F120)</f>
        <v>5</v>
      </c>
      <c r="L49" s="113" t="n">
        <f aca="false">SUM(F121:F123)</f>
        <v>9</v>
      </c>
      <c r="M49" s="113" t="n">
        <f aca="false">SUM(F124:F126)</f>
        <v>32</v>
      </c>
      <c r="N49" s="113" t="n">
        <f aca="false">SUM(F127:F129)</f>
        <v>8</v>
      </c>
      <c r="O49" s="114" t="n">
        <f aca="false">SUM(C49:N49)</f>
        <v>208</v>
      </c>
    </row>
    <row r="50" customFormat="false" ht="15" hidden="false" customHeight="false" outlineLevel="0" collapsed="false">
      <c r="B50" s="112" t="str">
        <f aca="false">'Programme de vols'!$W$8</f>
        <v>aout 2027</v>
      </c>
      <c r="C50" s="113" t="n">
        <f aca="false">SUM(G94:G96)</f>
        <v>62</v>
      </c>
      <c r="D50" s="113" t="n">
        <f aca="false">SUM(G97:G99)</f>
        <v>14</v>
      </c>
      <c r="E50" s="113" t="n">
        <f aca="false">SUM(G100:G102)</f>
        <v>8</v>
      </c>
      <c r="F50" s="113" t="n">
        <f aca="false">SUM(G103:G105)</f>
        <v>26</v>
      </c>
      <c r="G50" s="113" t="n">
        <f aca="false">SUM(G106:G108)</f>
        <v>18</v>
      </c>
      <c r="H50" s="113" t="n">
        <f aca="false">SUM(G109:G111)</f>
        <v>13</v>
      </c>
      <c r="I50" s="113" t="n">
        <f aca="false">SUM(G112:G114)</f>
        <v>13</v>
      </c>
      <c r="J50" s="113" t="n">
        <f aca="false">SUM(G115:G117)</f>
        <v>9</v>
      </c>
      <c r="K50" s="113" t="n">
        <f aca="false">SUM(G118:G120)</f>
        <v>4</v>
      </c>
      <c r="L50" s="113" t="n">
        <f aca="false">SUM(G121:G123)</f>
        <v>9</v>
      </c>
      <c r="M50" s="113" t="n">
        <f aca="false">SUM(G124:G126)</f>
        <v>30</v>
      </c>
      <c r="N50" s="113" t="n">
        <f aca="false">SUM(G127:G129)</f>
        <v>9</v>
      </c>
      <c r="O50" s="114" t="n">
        <f aca="false">SUM(C50:N50)</f>
        <v>215</v>
      </c>
    </row>
    <row r="51" customFormat="false" ht="15" hidden="false" customHeight="false" outlineLevel="0" collapsed="false">
      <c r="B51" s="112" t="str">
        <f aca="false">'Programme de vols'!$W$9</f>
        <v>septembre 2027</v>
      </c>
      <c r="C51" s="113" t="n">
        <f aca="false">SUM(H94:H96)</f>
        <v>46</v>
      </c>
      <c r="D51" s="113" t="n">
        <f aca="false">SUM(H97:H99)</f>
        <v>12</v>
      </c>
      <c r="E51" s="113" t="n">
        <f aca="false">SUM(H100:H102)</f>
        <v>9</v>
      </c>
      <c r="F51" s="113" t="n">
        <f aca="false">SUM(H103:H105)</f>
        <v>27</v>
      </c>
      <c r="G51" s="113" t="n">
        <f aca="false">SUM(H106:H108)</f>
        <v>17</v>
      </c>
      <c r="H51" s="113" t="n">
        <f aca="false">SUM(H109:H111)</f>
        <v>13</v>
      </c>
      <c r="I51" s="113" t="n">
        <f aca="false">SUM(H112:H114)</f>
        <v>13</v>
      </c>
      <c r="J51" s="113" t="n">
        <f aca="false">SUM(H115:H117)</f>
        <v>8</v>
      </c>
      <c r="K51" s="113" t="n">
        <f aca="false">SUM(H118:H120)</f>
        <v>5</v>
      </c>
      <c r="L51" s="113" t="n">
        <f aca="false">SUM(H121:H123)</f>
        <v>8</v>
      </c>
      <c r="M51" s="113" t="n">
        <f aca="false">SUM(H124:H126)</f>
        <v>31</v>
      </c>
      <c r="N51" s="113" t="n">
        <f aca="false">SUM(H127:H129)</f>
        <v>9</v>
      </c>
      <c r="O51" s="114" t="n">
        <f aca="false">SUM(C51:N51)</f>
        <v>198</v>
      </c>
    </row>
    <row r="52" customFormat="false" ht="15" hidden="false" customHeight="false" outlineLevel="0" collapsed="false">
      <c r="B52" s="112" t="str">
        <f aca="false">'Programme de vols'!$W$10</f>
        <v>octobre 2027</v>
      </c>
      <c r="C52" s="113" t="n">
        <f aca="false">SUM(I94:I96)</f>
        <v>48</v>
      </c>
      <c r="D52" s="113" t="n">
        <f aca="false">SUM(I97:I99)</f>
        <v>14</v>
      </c>
      <c r="E52" s="113" t="n">
        <f aca="false">SUM(I100:I102)</f>
        <v>9</v>
      </c>
      <c r="F52" s="113" t="n">
        <f aca="false">SUM(I103:I105)</f>
        <v>25</v>
      </c>
      <c r="G52" s="113" t="n">
        <f aca="false">SUM(I106:I108)</f>
        <v>18</v>
      </c>
      <c r="H52" s="113" t="n">
        <f aca="false">SUM(I109:I111)</f>
        <v>13</v>
      </c>
      <c r="I52" s="113" t="n">
        <f aca="false">SUM(I112:I114)</f>
        <v>13</v>
      </c>
      <c r="J52" s="113" t="n">
        <f aca="false">SUM(I115:I117)</f>
        <v>9</v>
      </c>
      <c r="K52" s="113" t="n">
        <f aca="false">SUM(I118:I120)</f>
        <v>4</v>
      </c>
      <c r="L52" s="113" t="n">
        <f aca="false">SUM(I121:I123)</f>
        <v>9</v>
      </c>
      <c r="M52" s="113" t="n">
        <f aca="false">SUM(I124:I126)</f>
        <v>30</v>
      </c>
      <c r="N52" s="113" t="n">
        <f aca="false">SUM(I127:I129)</f>
        <v>9</v>
      </c>
      <c r="O52" s="114" t="n">
        <f aca="false">SUM(C52:N52)</f>
        <v>201</v>
      </c>
    </row>
    <row r="53" customFormat="false" ht="15" hidden="false" customHeight="false" outlineLevel="0" collapsed="false">
      <c r="B53" s="112" t="str">
        <f aca="false">'Programme de vols'!$W$11</f>
        <v>novembre 2027</v>
      </c>
      <c r="C53" s="113" t="n">
        <f aca="false">SUM(J94:J96)</f>
        <v>49</v>
      </c>
      <c r="D53" s="113" t="n">
        <f aca="false">SUM(J97:J99)</f>
        <v>13</v>
      </c>
      <c r="E53" s="113" t="n">
        <f aca="false">SUM(J100:J102)</f>
        <v>8</v>
      </c>
      <c r="F53" s="113" t="n">
        <f aca="false">SUM(J103:J105)</f>
        <v>26</v>
      </c>
      <c r="G53" s="113" t="n">
        <f aca="false">SUM(J106:J108)</f>
        <v>17</v>
      </c>
      <c r="H53" s="113" t="n">
        <f aca="false">SUM(J109:J111)</f>
        <v>13</v>
      </c>
      <c r="I53" s="113" t="n">
        <f aca="false">SUM(J112:J114)</f>
        <v>13</v>
      </c>
      <c r="J53" s="113" t="n">
        <f aca="false">SUM(J115:J117)</f>
        <v>9</v>
      </c>
      <c r="K53" s="113" t="n">
        <f aca="false">SUM(J118:J120)</f>
        <v>4</v>
      </c>
      <c r="L53" s="113" t="n">
        <f aca="false">SUM(J121:J123)</f>
        <v>9</v>
      </c>
      <c r="M53" s="113" t="n">
        <f aca="false">SUM(J124:J126)</f>
        <v>30</v>
      </c>
      <c r="N53" s="113" t="n">
        <f aca="false">SUM(J127:J129)</f>
        <v>8</v>
      </c>
      <c r="O53" s="114" t="n">
        <f aca="false">SUM(C53:N53)</f>
        <v>199</v>
      </c>
    </row>
    <row r="54" customFormat="false" ht="15" hidden="false" customHeight="false" outlineLevel="0" collapsed="false">
      <c r="B54" s="112" t="str">
        <f aca="false">'Programme de vols'!$W$12</f>
        <v>decembre 2027</v>
      </c>
      <c r="C54" s="113" t="n">
        <f aca="false">SUM(K94:K96)</f>
        <v>48</v>
      </c>
      <c r="D54" s="113" t="n">
        <f aca="false">SUM(K97:K99)</f>
        <v>13</v>
      </c>
      <c r="E54" s="113" t="n">
        <f aca="false">SUM(K100:K102)</f>
        <v>9</v>
      </c>
      <c r="F54" s="113" t="n">
        <f aca="false">SUM(K103:K105)</f>
        <v>28</v>
      </c>
      <c r="G54" s="113" t="n">
        <f aca="false">SUM(K106:K108)</f>
        <v>18</v>
      </c>
      <c r="H54" s="113" t="n">
        <f aca="false">SUM(K109:K111)</f>
        <v>21</v>
      </c>
      <c r="I54" s="113" t="n">
        <f aca="false">SUM(K112:K114)</f>
        <v>13</v>
      </c>
      <c r="J54" s="113" t="n">
        <f aca="false">SUM(K115:K117)</f>
        <v>9</v>
      </c>
      <c r="K54" s="113" t="n">
        <f aca="false">SUM(K118:K120)</f>
        <v>5</v>
      </c>
      <c r="L54" s="113" t="n">
        <f aca="false">SUM(K121:K123)</f>
        <v>8</v>
      </c>
      <c r="M54" s="113" t="n">
        <f aca="false">SUM(K124:K126)</f>
        <v>32</v>
      </c>
      <c r="N54" s="113" t="n">
        <f aca="false">SUM(K127:K129)</f>
        <v>9</v>
      </c>
      <c r="O54" s="114" t="n">
        <f aca="false">SUM(C54:N54)</f>
        <v>213</v>
      </c>
    </row>
    <row r="55" customFormat="false" ht="15" hidden="false" customHeight="false" outlineLevel="0" collapsed="false">
      <c r="B55" s="112" t="str">
        <f aca="false">'Programme de vols'!$W$13</f>
        <v>janvier 2028</v>
      </c>
      <c r="C55" s="113" t="n">
        <f aca="false">SUM(L94:L96)</f>
        <v>50</v>
      </c>
      <c r="D55" s="113" t="n">
        <f aca="false">SUM(L97:L99)</f>
        <v>13</v>
      </c>
      <c r="E55" s="113" t="n">
        <f aca="false">SUM(L100:L102)</f>
        <v>9</v>
      </c>
      <c r="F55" s="113" t="n">
        <f aca="false">SUM(L103:L105)</f>
        <v>25</v>
      </c>
      <c r="G55" s="113" t="n">
        <f aca="false">SUM(L106:L108)</f>
        <v>18</v>
      </c>
      <c r="H55" s="113" t="n">
        <f aca="false">SUM(L109:L111)</f>
        <v>14</v>
      </c>
      <c r="I55" s="113" t="n">
        <f aca="false">SUM(L112:L114)</f>
        <v>13</v>
      </c>
      <c r="J55" s="113" t="n">
        <f aca="false">SUM(L115:L117)</f>
        <v>9</v>
      </c>
      <c r="K55" s="113" t="n">
        <f aca="false">SUM(L118:L120)</f>
        <v>4</v>
      </c>
      <c r="L55" s="113" t="n">
        <f aca="false">SUM(L121:L123)</f>
        <v>9</v>
      </c>
      <c r="M55" s="113" t="n">
        <f aca="false">SUM(L124:L126)</f>
        <v>30</v>
      </c>
      <c r="N55" s="113" t="n">
        <f aca="false">SUM(L127:L129)</f>
        <v>9</v>
      </c>
      <c r="O55" s="114" t="n">
        <f aca="false">SUM(C55:N55)</f>
        <v>203</v>
      </c>
    </row>
    <row r="56" customFormat="false" ht="15" hidden="false" customHeight="false" outlineLevel="0" collapsed="false">
      <c r="B56" s="112" t="str">
        <f aca="false">'Programme de vols'!$W$14</f>
        <v>fevrier 2028</v>
      </c>
      <c r="C56" s="113" t="n">
        <f aca="false">SUM(M94:M96)</f>
        <v>45</v>
      </c>
      <c r="D56" s="113" t="n">
        <f aca="false">SUM(M97:M99)</f>
        <v>13</v>
      </c>
      <c r="E56" s="113" t="n">
        <f aca="false">SUM(M100:M102)</f>
        <v>8</v>
      </c>
      <c r="F56" s="113" t="n">
        <f aca="false">SUM(M103:M105)</f>
        <v>25</v>
      </c>
      <c r="G56" s="113" t="n">
        <f aca="false">SUM(M106:M108)</f>
        <v>16</v>
      </c>
      <c r="H56" s="113" t="n">
        <f aca="false">SUM(M109:M111)</f>
        <v>12</v>
      </c>
      <c r="I56" s="113" t="n">
        <f aca="false">SUM(M112:M114)</f>
        <v>13</v>
      </c>
      <c r="J56" s="113" t="n">
        <f aca="false">SUM(M115:M117)</f>
        <v>8</v>
      </c>
      <c r="K56" s="113" t="n">
        <f aca="false">SUM(M118:M120)</f>
        <v>4</v>
      </c>
      <c r="L56" s="113" t="n">
        <f aca="false">SUM(M121:M123)</f>
        <v>9</v>
      </c>
      <c r="M56" s="113" t="n">
        <f aca="false">SUM(M124:M126)</f>
        <v>29</v>
      </c>
      <c r="N56" s="113" t="n">
        <f aca="false">SUM(M127:M129)</f>
        <v>8</v>
      </c>
      <c r="O56" s="114" t="n">
        <f aca="false">SUM(C56:N56)</f>
        <v>190</v>
      </c>
    </row>
    <row r="57" customFormat="false" ht="15" hidden="false" customHeight="false" outlineLevel="0" collapsed="false">
      <c r="B57" s="112" t="str">
        <f aca="false">'Programme de vols'!$W$15</f>
        <v>mars 2028</v>
      </c>
      <c r="C57" s="113" t="n">
        <f aca="false">SUM(N94:N96)</f>
        <v>48</v>
      </c>
      <c r="D57" s="113" t="n">
        <f aca="false">SUM(N97:N99)</f>
        <v>13</v>
      </c>
      <c r="E57" s="113" t="n">
        <f aca="false">SUM(N100:N102)</f>
        <v>9</v>
      </c>
      <c r="F57" s="113" t="n">
        <f aca="false">SUM(N103:N105)</f>
        <v>28</v>
      </c>
      <c r="G57" s="113" t="n">
        <f aca="false">SUM(N106:N108)</f>
        <v>18</v>
      </c>
      <c r="H57" s="113" t="n">
        <f aca="false">SUM(N109:N111)</f>
        <v>13</v>
      </c>
      <c r="I57" s="113" t="n">
        <f aca="false">SUM(N112:N114)</f>
        <v>13</v>
      </c>
      <c r="J57" s="113" t="n">
        <f aca="false">SUM(N115:N117)</f>
        <v>9</v>
      </c>
      <c r="K57" s="113" t="n">
        <f aca="false">SUM(N118:N120)</f>
        <v>5</v>
      </c>
      <c r="L57" s="113" t="n">
        <f aca="false">SUM(N121:N123)</f>
        <v>8</v>
      </c>
      <c r="M57" s="113" t="n">
        <f aca="false">SUM(N124:N126)</f>
        <v>32</v>
      </c>
      <c r="N57" s="113" t="n">
        <f aca="false">SUM(N127:N129)</f>
        <v>9</v>
      </c>
      <c r="O57" s="114" t="n">
        <f aca="false">SUM(C57:N57)</f>
        <v>205</v>
      </c>
    </row>
    <row r="58" customFormat="false" ht="15" hidden="false" customHeight="false" outlineLevel="0" collapsed="false">
      <c r="B58" s="115" t="s">
        <v>178</v>
      </c>
      <c r="C58" s="116" t="n">
        <f aca="false">SUM(C46:C57)</f>
        <v>587</v>
      </c>
      <c r="D58" s="116" t="n">
        <f aca="false">SUM(D46:D57)</f>
        <v>157</v>
      </c>
      <c r="E58" s="116" t="n">
        <f aca="false">SUM(E46:E57)</f>
        <v>104</v>
      </c>
      <c r="F58" s="116" t="n">
        <f aca="false">SUM(F46:F57)</f>
        <v>314</v>
      </c>
      <c r="G58" s="116" t="n">
        <f aca="false">SUM(G46:G57)</f>
        <v>209</v>
      </c>
      <c r="H58" s="116" t="n">
        <f aca="false">SUM(H46:H57)</f>
        <v>169</v>
      </c>
      <c r="I58" s="116" t="n">
        <f aca="false">SUM(I46:I57)</f>
        <v>157</v>
      </c>
      <c r="J58" s="116" t="n">
        <f aca="false">SUM(J46:J57)</f>
        <v>105</v>
      </c>
      <c r="K58" s="116" t="n">
        <f aca="false">SUM(K46:K57)</f>
        <v>53</v>
      </c>
      <c r="L58" s="116" t="n">
        <f aca="false">SUM(L46:L57)</f>
        <v>104</v>
      </c>
      <c r="M58" s="116" t="n">
        <f aca="false">SUM(M46:M57)</f>
        <v>367</v>
      </c>
      <c r="N58" s="116" t="n">
        <f aca="false">SUM(N46:N57)</f>
        <v>104</v>
      </c>
      <c r="O58" s="116" t="n">
        <f aca="false">SUM(O46:O57)</f>
        <v>2430</v>
      </c>
    </row>
    <row r="61" customFormat="false" ht="15" hidden="false" customHeight="false" outlineLevel="0" collapsed="false">
      <c r="B61" s="14" t="s">
        <v>180</v>
      </c>
      <c r="C61" s="14"/>
      <c r="D61" s="14"/>
      <c r="E61" s="14"/>
      <c r="F61" s="14"/>
      <c r="G61" s="14"/>
      <c r="H61" s="14"/>
      <c r="I61" s="14"/>
      <c r="J61" s="14"/>
      <c r="K61" s="14"/>
    </row>
    <row r="62" customFormat="false" ht="30" hidden="false" customHeight="true" outlineLevel="0" collapsed="false">
      <c r="B62" s="33" t="s">
        <v>176</v>
      </c>
      <c r="C62" s="33" t="s">
        <v>181</v>
      </c>
      <c r="D62" s="33" t="s">
        <v>182</v>
      </c>
      <c r="E62" s="33" t="s">
        <v>183</v>
      </c>
      <c r="F62" s="33" t="s">
        <v>184</v>
      </c>
      <c r="G62" s="33" t="s">
        <v>185</v>
      </c>
      <c r="H62" s="33" t="s">
        <v>186</v>
      </c>
      <c r="I62" s="33" t="s">
        <v>187</v>
      </c>
      <c r="J62" s="33" t="s">
        <v>188</v>
      </c>
      <c r="K62" s="33" t="s">
        <v>172</v>
      </c>
    </row>
    <row r="63" customFormat="false" ht="15" hidden="false" customHeight="false" outlineLevel="0" collapsed="false">
      <c r="B63" s="112" t="str">
        <f aca="false">'Programme de vols'!$W$4</f>
        <v>avril 2027</v>
      </c>
      <c r="C63" s="113" t="n">
        <f aca="false">SUMIF($P$94:$P$129,"77W",$C$94:$C$129)</f>
        <v>34</v>
      </c>
      <c r="D63" s="113" t="n">
        <f aca="false">SUMIF($P$94:$P$129,"787",$C$94:$C$129)</f>
        <v>44</v>
      </c>
      <c r="E63" s="113" t="n">
        <f aca="false">SUMIF($P$94:$P$129,"A320",$C$94:$C$129)</f>
        <v>120</v>
      </c>
      <c r="F63" s="114" t="n">
        <f aca="false">SUM(C63:E63)</f>
        <v>198</v>
      </c>
      <c r="G63" s="113" t="n">
        <f aca="false">C63*$C$6*$C$9</f>
        <v>14892</v>
      </c>
      <c r="H63" s="113" t="n">
        <f aca="false">D63*$C$7*$C$9</f>
        <v>11528</v>
      </c>
      <c r="I63" s="113" t="n">
        <f aca="false">E63*$C$8*$C$9</f>
        <v>20880</v>
      </c>
      <c r="J63" s="114" t="n">
        <f aca="false">SUM(G63:I63)</f>
        <v>47300</v>
      </c>
      <c r="K63" s="113" t="n">
        <f aca="false">IFERROR(J63/F63,"-")</f>
        <v>238.888888888889</v>
      </c>
    </row>
    <row r="64" customFormat="false" ht="15" hidden="false" customHeight="false" outlineLevel="0" collapsed="false">
      <c r="B64" s="112" t="str">
        <f aca="false">'Programme de vols'!$W$5</f>
        <v>mai 2027</v>
      </c>
      <c r="C64" s="113" t="n">
        <f aca="false">SUMIF($P$94:$P$129,"77W",$D$94:$D$129)</f>
        <v>36</v>
      </c>
      <c r="D64" s="113" t="n">
        <f aca="false">SUMIF($P$94:$P$129,"787",$D$94:$D$129)</f>
        <v>43</v>
      </c>
      <c r="E64" s="113" t="n">
        <f aca="false">SUMIF($P$94:$P$129,"A320",$D$94:$D$129)</f>
        <v>124</v>
      </c>
      <c r="F64" s="114" t="n">
        <f aca="false">SUM(C64:E64)</f>
        <v>203</v>
      </c>
      <c r="G64" s="113" t="n">
        <f aca="false">C64*$C$6*$C$9</f>
        <v>15768</v>
      </c>
      <c r="H64" s="113" t="n">
        <f aca="false">D64*$C$7*$C$9</f>
        <v>11266</v>
      </c>
      <c r="I64" s="113" t="n">
        <f aca="false">E64*$C$8*$C$9</f>
        <v>21576</v>
      </c>
      <c r="J64" s="114" t="n">
        <f aca="false">SUM(G64:I64)</f>
        <v>48610</v>
      </c>
      <c r="K64" s="113" t="n">
        <f aca="false">IFERROR(J64/F64,"-")</f>
        <v>239.458128078818</v>
      </c>
    </row>
    <row r="65" customFormat="false" ht="15" hidden="false" customHeight="false" outlineLevel="0" collapsed="false">
      <c r="B65" s="112" t="str">
        <f aca="false">'Programme de vols'!$W$6</f>
        <v>juin 2027</v>
      </c>
      <c r="C65" s="113" t="n">
        <f aca="false">SUMIF($P$94:$P$129,"77W",$E$94:$E$129)</f>
        <v>34</v>
      </c>
      <c r="D65" s="113" t="n">
        <f aca="false">SUMIF($P$94:$P$129,"787",$E$94:$E$129)</f>
        <v>43</v>
      </c>
      <c r="E65" s="113" t="n">
        <f aca="false">SUMIF($P$94:$P$129,"A320",$E$94:$E$129)</f>
        <v>120</v>
      </c>
      <c r="F65" s="114" t="n">
        <f aca="false">SUM(C65:E65)</f>
        <v>197</v>
      </c>
      <c r="G65" s="113" t="n">
        <f aca="false">C65*$C$6*$C$9</f>
        <v>14892</v>
      </c>
      <c r="H65" s="113" t="n">
        <f aca="false">D65*$C$7*$C$9</f>
        <v>11266</v>
      </c>
      <c r="I65" s="113" t="n">
        <f aca="false">E65*$C$8*$C$9</f>
        <v>20880</v>
      </c>
      <c r="J65" s="114" t="n">
        <f aca="false">SUM(G65:I65)</f>
        <v>47038</v>
      </c>
      <c r="K65" s="113" t="n">
        <f aca="false">IFERROR(J65/F65,"-")</f>
        <v>238.771573604061</v>
      </c>
    </row>
    <row r="66" customFormat="false" ht="15" hidden="false" customHeight="false" outlineLevel="0" collapsed="false">
      <c r="B66" s="112" t="str">
        <f aca="false">'Programme de vols'!$W$7</f>
        <v>juillet 2027</v>
      </c>
      <c r="C66" s="113" t="n">
        <f aca="false">SUMIF($P$94:$P$129,"77W",$F$94:$F$129)</f>
        <v>35</v>
      </c>
      <c r="D66" s="113" t="n">
        <f aca="false">SUMIF($P$94:$P$129,"787",$F$94:$F$129)</f>
        <v>45</v>
      </c>
      <c r="E66" s="113" t="n">
        <f aca="false">SUMIF($P$94:$P$129,"A320",$F$94:$F$129)</f>
        <v>128</v>
      </c>
      <c r="F66" s="114" t="n">
        <f aca="false">SUM(C66:E66)</f>
        <v>208</v>
      </c>
      <c r="G66" s="113" t="n">
        <f aca="false">C66*$C$6*$C$9</f>
        <v>15330</v>
      </c>
      <c r="H66" s="113" t="n">
        <f aca="false">D66*$C$7*$C$9</f>
        <v>11790</v>
      </c>
      <c r="I66" s="113" t="n">
        <f aca="false">E66*$C$8*$C$9</f>
        <v>22272</v>
      </c>
      <c r="J66" s="114" t="n">
        <f aca="false">SUM(G66:I66)</f>
        <v>49392</v>
      </c>
      <c r="K66" s="113" t="n">
        <f aca="false">IFERROR(J66/F66,"-")</f>
        <v>237.461538461538</v>
      </c>
    </row>
    <row r="67" customFormat="false" ht="15" hidden="false" customHeight="false" outlineLevel="0" collapsed="false">
      <c r="B67" s="112" t="str">
        <f aca="false">'Programme de vols'!$W$8</f>
        <v>aout 2027</v>
      </c>
      <c r="C67" s="113" t="n">
        <f aca="false">SUMIF($P$94:$P$129,"77W",$G$94:$G$129)</f>
        <v>36</v>
      </c>
      <c r="D67" s="113" t="n">
        <f aca="false">SUMIF($P$94:$P$129,"787",$G$94:$G$129)</f>
        <v>65</v>
      </c>
      <c r="E67" s="113" t="n">
        <f aca="false">SUMIF($P$94:$P$129,"A320",$G$94:$G$129)</f>
        <v>114</v>
      </c>
      <c r="F67" s="114" t="n">
        <f aca="false">SUM(C67:E67)</f>
        <v>215</v>
      </c>
      <c r="G67" s="113" t="n">
        <f aca="false">C67*$C$6*$C$9</f>
        <v>15768</v>
      </c>
      <c r="H67" s="113" t="n">
        <f aca="false">D67*$C$7*$C$9</f>
        <v>17030</v>
      </c>
      <c r="I67" s="113" t="n">
        <f aca="false">E67*$C$8*$C$9</f>
        <v>19836</v>
      </c>
      <c r="J67" s="114" t="n">
        <f aca="false">SUM(G67:I67)</f>
        <v>52634</v>
      </c>
      <c r="K67" s="113" t="n">
        <f aca="false">IFERROR(J67/F67,"-")</f>
        <v>244.809302325581</v>
      </c>
    </row>
    <row r="68" customFormat="false" ht="15" hidden="false" customHeight="false" outlineLevel="0" collapsed="false">
      <c r="B68" s="112" t="str">
        <f aca="false">'Programme de vols'!$W$9</f>
        <v>septembre 2027</v>
      </c>
      <c r="C68" s="113" t="n">
        <f aca="false">SUMIF($P$94:$P$129,"77W",$H$94:$H$129)</f>
        <v>34</v>
      </c>
      <c r="D68" s="113" t="n">
        <f aca="false">SUMIF($P$94:$P$129,"787",$H$94:$H$129)</f>
        <v>43</v>
      </c>
      <c r="E68" s="113" t="n">
        <f aca="false">SUMIF($P$94:$P$129,"A320",$H$94:$H$129)</f>
        <v>121</v>
      </c>
      <c r="F68" s="114" t="n">
        <f aca="false">SUM(C68:E68)</f>
        <v>198</v>
      </c>
      <c r="G68" s="113" t="n">
        <f aca="false">C68*$C$6*$C$9</f>
        <v>14892</v>
      </c>
      <c r="H68" s="113" t="n">
        <f aca="false">D68*$C$7*$C$9</f>
        <v>11266</v>
      </c>
      <c r="I68" s="113" t="n">
        <f aca="false">E68*$C$8*$C$9</f>
        <v>21054</v>
      </c>
      <c r="J68" s="114" t="n">
        <f aca="false">SUM(G68:I68)</f>
        <v>47212</v>
      </c>
      <c r="K68" s="113" t="n">
        <f aca="false">IFERROR(J68/F68,"-")</f>
        <v>238.444444444444</v>
      </c>
    </row>
    <row r="69" customFormat="false" ht="15" hidden="false" customHeight="false" outlineLevel="0" collapsed="false">
      <c r="B69" s="112" t="str">
        <f aca="false">'Programme de vols'!$W$10</f>
        <v>octobre 2027</v>
      </c>
      <c r="C69" s="113" t="n">
        <f aca="false">SUMIF($P$94:$P$129,"77W",$I$94:$I$129)</f>
        <v>36</v>
      </c>
      <c r="D69" s="113" t="n">
        <f aca="false">SUMIF($P$94:$P$129,"787",$I$94:$I$129)</f>
        <v>44</v>
      </c>
      <c r="E69" s="113" t="n">
        <f aca="false">SUMIF($P$94:$P$129,"A320",$I$94:$I$129)</f>
        <v>121</v>
      </c>
      <c r="F69" s="114" t="n">
        <f aca="false">SUM(C69:E69)</f>
        <v>201</v>
      </c>
      <c r="G69" s="113" t="n">
        <f aca="false">C69*$C$6*$C$9</f>
        <v>15768</v>
      </c>
      <c r="H69" s="113" t="n">
        <f aca="false">D69*$C$7*$C$9</f>
        <v>11528</v>
      </c>
      <c r="I69" s="113" t="n">
        <f aca="false">E69*$C$8*$C$9</f>
        <v>21054</v>
      </c>
      <c r="J69" s="114" t="n">
        <f aca="false">SUM(G69:I69)</f>
        <v>48350</v>
      </c>
      <c r="K69" s="113" t="n">
        <f aca="false">IFERROR(J69/F69,"-")</f>
        <v>240.547263681592</v>
      </c>
    </row>
    <row r="70" customFormat="false" ht="15" hidden="false" customHeight="false" outlineLevel="0" collapsed="false">
      <c r="B70" s="112" t="str">
        <f aca="false">'Programme de vols'!$W$11</f>
        <v>novembre 2027</v>
      </c>
      <c r="C70" s="113" t="n">
        <f aca="false">SUMIF($P$94:$P$129,"77W",$J$94:$J$129)</f>
        <v>34</v>
      </c>
      <c r="D70" s="113" t="n">
        <f aca="false">SUMIF($P$94:$P$129,"787",$J$94:$J$129)</f>
        <v>43</v>
      </c>
      <c r="E70" s="113" t="n">
        <f aca="false">SUMIF($P$94:$P$129,"A320",$J$94:$J$129)</f>
        <v>122</v>
      </c>
      <c r="F70" s="114" t="n">
        <f aca="false">SUM(C70:E70)</f>
        <v>199</v>
      </c>
      <c r="G70" s="113" t="n">
        <f aca="false">C70*$C$6*$C$9</f>
        <v>14892</v>
      </c>
      <c r="H70" s="113" t="n">
        <f aca="false">D70*$C$7*$C$9</f>
        <v>11266</v>
      </c>
      <c r="I70" s="113" t="n">
        <f aca="false">E70*$C$8*$C$9</f>
        <v>21228</v>
      </c>
      <c r="J70" s="114" t="n">
        <f aca="false">SUM(G70:I70)</f>
        <v>47386</v>
      </c>
      <c r="K70" s="113" t="n">
        <f aca="false">IFERROR(J70/F70,"-")</f>
        <v>238.120603015075</v>
      </c>
    </row>
    <row r="71" customFormat="false" ht="15" hidden="false" customHeight="false" outlineLevel="0" collapsed="false">
      <c r="B71" s="112" t="str">
        <f aca="false">'Programme de vols'!$W$12</f>
        <v>decembre 2027</v>
      </c>
      <c r="C71" s="113" t="n">
        <f aca="false">SUMIF($P$94:$P$129,"77W",$K$94:$K$129)</f>
        <v>35</v>
      </c>
      <c r="D71" s="113" t="n">
        <f aca="false">SUMIF($P$94:$P$129,"787",$K$94:$K$129)</f>
        <v>46</v>
      </c>
      <c r="E71" s="113" t="n">
        <f aca="false">SUMIF($P$94:$P$129,"A320",$K$94:$K$129)</f>
        <v>132</v>
      </c>
      <c r="F71" s="114" t="n">
        <f aca="false">SUM(C71:E71)</f>
        <v>213</v>
      </c>
      <c r="G71" s="113" t="n">
        <f aca="false">C71*$C$6*$C$9</f>
        <v>15330</v>
      </c>
      <c r="H71" s="113" t="n">
        <f aca="false">D71*$C$7*$C$9</f>
        <v>12052</v>
      </c>
      <c r="I71" s="113" t="n">
        <f aca="false">E71*$C$8*$C$9</f>
        <v>22968</v>
      </c>
      <c r="J71" s="114" t="n">
        <f aca="false">SUM(G71:I71)</f>
        <v>50350</v>
      </c>
      <c r="K71" s="113" t="n">
        <f aca="false">IFERROR(J71/F71,"-")</f>
        <v>236.384976525822</v>
      </c>
    </row>
    <row r="72" customFormat="false" ht="15" hidden="false" customHeight="false" outlineLevel="0" collapsed="false">
      <c r="B72" s="112" t="str">
        <f aca="false">'Programme de vols'!$W$13</f>
        <v>janvier 2028</v>
      </c>
      <c r="C72" s="113" t="n">
        <f aca="false">SUMIF($P$94:$P$129,"77W",$L$94:$L$129)</f>
        <v>36</v>
      </c>
      <c r="D72" s="113" t="n">
        <f aca="false">SUMIF($P$94:$P$129,"787",$L$94:$L$129)</f>
        <v>43</v>
      </c>
      <c r="E72" s="113" t="n">
        <f aca="false">SUMIF($P$94:$P$129,"A320",$L$94:$L$129)</f>
        <v>124</v>
      </c>
      <c r="F72" s="114" t="n">
        <f aca="false">SUM(C72:E72)</f>
        <v>203</v>
      </c>
      <c r="G72" s="113" t="n">
        <f aca="false">C72*$C$6*$C$9</f>
        <v>15768</v>
      </c>
      <c r="H72" s="113" t="n">
        <f aca="false">D72*$C$7*$C$9</f>
        <v>11266</v>
      </c>
      <c r="I72" s="113" t="n">
        <f aca="false">E72*$C$8*$C$9</f>
        <v>21576</v>
      </c>
      <c r="J72" s="114" t="n">
        <f aca="false">SUM(G72:I72)</f>
        <v>48610</v>
      </c>
      <c r="K72" s="113" t="n">
        <f aca="false">IFERROR(J72/F72,"-")</f>
        <v>239.458128078818</v>
      </c>
    </row>
    <row r="73" customFormat="false" ht="15" hidden="false" customHeight="false" outlineLevel="0" collapsed="false">
      <c r="B73" s="112" t="str">
        <f aca="false">'Programme de vols'!$W$14</f>
        <v>fevrier 2028</v>
      </c>
      <c r="C73" s="113" t="n">
        <f aca="false">SUMIF($P$94:$P$129,"77W",$M$94:$M$129)</f>
        <v>33</v>
      </c>
      <c r="D73" s="113" t="n">
        <f aca="false">SUMIF($P$94:$P$129,"787",$M$94:$M$129)</f>
        <v>41</v>
      </c>
      <c r="E73" s="113" t="n">
        <f aca="false">SUMIF($P$94:$P$129,"A320",$M$94:$M$129)</f>
        <v>116</v>
      </c>
      <c r="F73" s="114" t="n">
        <f aca="false">SUM(C73:E73)</f>
        <v>190</v>
      </c>
      <c r="G73" s="113" t="n">
        <f aca="false">C73*$C$6*$C$9</f>
        <v>14454</v>
      </c>
      <c r="H73" s="113" t="n">
        <f aca="false">D73*$C$7*$C$9</f>
        <v>10742</v>
      </c>
      <c r="I73" s="113" t="n">
        <f aca="false">E73*$C$8*$C$9</f>
        <v>20184</v>
      </c>
      <c r="J73" s="114" t="n">
        <f aca="false">SUM(G73:I73)</f>
        <v>45380</v>
      </c>
      <c r="K73" s="113" t="n">
        <f aca="false">IFERROR(J73/F73,"-")</f>
        <v>238.842105263158</v>
      </c>
    </row>
    <row r="74" customFormat="false" ht="15" hidden="false" customHeight="false" outlineLevel="0" collapsed="false">
      <c r="B74" s="112" t="str">
        <f aca="false">'Programme de vols'!$W$15</f>
        <v>mars 2028</v>
      </c>
      <c r="C74" s="113" t="n">
        <f aca="false">SUMIF($P$94:$P$129,"77W",$N$94:$N$129)</f>
        <v>35</v>
      </c>
      <c r="D74" s="113" t="n">
        <f aca="false">SUMIF($P$94:$P$129,"787",$N$94:$N$129)</f>
        <v>46</v>
      </c>
      <c r="E74" s="113" t="n">
        <f aca="false">SUMIF($P$94:$P$129,"A320",$N$94:$N$129)</f>
        <v>124</v>
      </c>
      <c r="F74" s="114" t="n">
        <f aca="false">SUM(C74:E74)</f>
        <v>205</v>
      </c>
      <c r="G74" s="113" t="n">
        <f aca="false">C74*$C$6*$C$9</f>
        <v>15330</v>
      </c>
      <c r="H74" s="113" t="n">
        <f aca="false">D74*$C$7*$C$9</f>
        <v>12052</v>
      </c>
      <c r="I74" s="113" t="n">
        <f aca="false">E74*$C$8*$C$9</f>
        <v>21576</v>
      </c>
      <c r="J74" s="114" t="n">
        <f aca="false">SUM(G74:I74)</f>
        <v>48958</v>
      </c>
      <c r="K74" s="113" t="n">
        <f aca="false">IFERROR(J74/F74,"-")</f>
        <v>238.819512195122</v>
      </c>
    </row>
    <row r="75" customFormat="false" ht="15" hidden="false" customHeight="false" outlineLevel="0" collapsed="false">
      <c r="B75" s="115" t="s">
        <v>178</v>
      </c>
      <c r="C75" s="116" t="n">
        <f aca="false">SUM(C63:C74)</f>
        <v>418</v>
      </c>
      <c r="D75" s="116" t="n">
        <f aca="false">SUM(D63:D74)</f>
        <v>546</v>
      </c>
      <c r="E75" s="116" t="n">
        <f aca="false">SUM(E63:E74)</f>
        <v>1466</v>
      </c>
      <c r="F75" s="116" t="n">
        <f aca="false">SUM(F63:F74)</f>
        <v>2430</v>
      </c>
      <c r="G75" s="116" t="n">
        <f aca="false">SUM(G63:G74)</f>
        <v>183084</v>
      </c>
      <c r="H75" s="116" t="n">
        <f aca="false">SUM(H63:H74)</f>
        <v>143052</v>
      </c>
      <c r="I75" s="116" t="n">
        <f aca="false">SUM(I63:I74)</f>
        <v>255084</v>
      </c>
      <c r="J75" s="116" t="n">
        <f aca="false">SUM(J63:J74)</f>
        <v>581220</v>
      </c>
      <c r="K75" s="116" t="n">
        <f aca="false">IFERROR(J75/F75,"-")</f>
        <v>239.185185185185</v>
      </c>
    </row>
    <row r="77" customFormat="false" ht="15" hidden="false" customHeight="false" outlineLevel="0" collapsed="false">
      <c r="B77" s="117" t="s">
        <v>189</v>
      </c>
      <c r="C77" s="117"/>
      <c r="D77" s="117"/>
      <c r="E77" s="117"/>
      <c r="F77" s="117"/>
      <c r="G77" s="117"/>
      <c r="H77" s="117"/>
      <c r="I77" s="117"/>
      <c r="J77" s="117"/>
      <c r="K77" s="117"/>
      <c r="L77" s="117"/>
    </row>
    <row r="78" customFormat="false" ht="15" hidden="false" customHeight="false" outlineLevel="0" collapsed="false">
      <c r="B78" s="25" t="s">
        <v>176</v>
      </c>
      <c r="C78" s="25" t="s">
        <v>65</v>
      </c>
      <c r="D78" s="25" t="s">
        <v>66</v>
      </c>
      <c r="E78" s="25" t="s">
        <v>67</v>
      </c>
      <c r="F78" s="25" t="s">
        <v>68</v>
      </c>
      <c r="G78" s="25" t="s">
        <v>69</v>
      </c>
      <c r="H78" s="25" t="s">
        <v>70</v>
      </c>
      <c r="I78" s="25" t="s">
        <v>71</v>
      </c>
      <c r="J78" s="25" t="s">
        <v>4</v>
      </c>
      <c r="K78" s="25" t="s">
        <v>190</v>
      </c>
      <c r="L78" s="25" t="s">
        <v>191</v>
      </c>
    </row>
    <row r="79" customFormat="false" ht="15" hidden="false" customHeight="false" outlineLevel="0" collapsed="false">
      <c r="B79" s="10" t="str">
        <f aca="false">'Programme de vols'!$W$4</f>
        <v>avril 2027</v>
      </c>
      <c r="C79" s="32" t="n">
        <f aca="false">IF(MOD(1-WEEKDAY($J79,2),7)&gt;=$L79,0,INT(($L79-1-MOD(1-WEEKDAY($J79,2),7))/7)+1)</f>
        <v>4</v>
      </c>
      <c r="D79" s="32" t="n">
        <f aca="false">IF(MOD(2-WEEKDAY($J79,2),7)&gt;=$L79,0,INT(($L79-1-MOD(2-WEEKDAY($J79,2),7))/7)+1)</f>
        <v>4</v>
      </c>
      <c r="E79" s="32" t="n">
        <f aca="false">IF(MOD(3-WEEKDAY($J79,2),7)&gt;=$L79,0,INT(($L79-1-MOD(3-WEEKDAY($J79,2),7))/7)+1)</f>
        <v>4</v>
      </c>
      <c r="F79" s="32" t="n">
        <f aca="false">IF(MOD(4-WEEKDAY($J79,2),7)&gt;=$L79,0,INT(($L79-1-MOD(4-WEEKDAY($J79,2),7))/7)+1)</f>
        <v>5</v>
      </c>
      <c r="G79" s="32" t="n">
        <f aca="false">IF(MOD(5-WEEKDAY($J79,2),7)&gt;=$L79,0,INT(($L79-1-MOD(5-WEEKDAY($J79,2),7))/7)+1)</f>
        <v>5</v>
      </c>
      <c r="H79" s="32" t="n">
        <f aca="false">IF(MOD(6-WEEKDAY($J79,2),7)&gt;=$L79,0,INT(($L79-1-MOD(6-WEEKDAY($J79,2),7))/7)+1)</f>
        <v>4</v>
      </c>
      <c r="I79" s="32" t="n">
        <f aca="false">IF(MOD(7-WEEKDAY($J79,2),7)&gt;=$L79,0,INT(($L79-1-MOD(7-WEEKDAY($J79,2),7))/7)+1)</f>
        <v>4</v>
      </c>
      <c r="J79" s="11" t="n">
        <f aca="false">'Programme de vols'!$X$4</f>
        <v>46478</v>
      </c>
      <c r="K79" s="11" t="n">
        <f aca="false">EOMONTH($J79,0)</f>
        <v>46507</v>
      </c>
      <c r="L79" s="32" t="n">
        <f aca="false">$K79-$J79+1</f>
        <v>30</v>
      </c>
    </row>
    <row r="80" customFormat="false" ht="15" hidden="false" customHeight="false" outlineLevel="0" collapsed="false">
      <c r="B80" s="10" t="str">
        <f aca="false">'Programme de vols'!$W$5</f>
        <v>mai 2027</v>
      </c>
      <c r="C80" s="32" t="n">
        <f aca="false">IF(MOD(1-WEEKDAY($J80,2),7)&gt;=$L80,0,INT(($L80-1-MOD(1-WEEKDAY($J80,2),7))/7)+1)</f>
        <v>5</v>
      </c>
      <c r="D80" s="32" t="n">
        <f aca="false">IF(MOD(2-WEEKDAY($J80,2),7)&gt;=$L80,0,INT(($L80-1-MOD(2-WEEKDAY($J80,2),7))/7)+1)</f>
        <v>4</v>
      </c>
      <c r="E80" s="32" t="n">
        <f aca="false">IF(MOD(3-WEEKDAY($J80,2),7)&gt;=$L80,0,INT(($L80-1-MOD(3-WEEKDAY($J80,2),7))/7)+1)</f>
        <v>4</v>
      </c>
      <c r="F80" s="32" t="n">
        <f aca="false">IF(MOD(4-WEEKDAY($J80,2),7)&gt;=$L80,0,INT(($L80-1-MOD(4-WEEKDAY($J80,2),7))/7)+1)</f>
        <v>4</v>
      </c>
      <c r="G80" s="32" t="n">
        <f aca="false">IF(MOD(5-WEEKDAY($J80,2),7)&gt;=$L80,0,INT(($L80-1-MOD(5-WEEKDAY($J80,2),7))/7)+1)</f>
        <v>4</v>
      </c>
      <c r="H80" s="32" t="n">
        <f aca="false">IF(MOD(6-WEEKDAY($J80,2),7)&gt;=$L80,0,INT(($L80-1-MOD(6-WEEKDAY($J80,2),7))/7)+1)</f>
        <v>5</v>
      </c>
      <c r="I80" s="32" t="n">
        <f aca="false">IF(MOD(7-WEEKDAY($J80,2),7)&gt;=$L80,0,INT(($L80-1-MOD(7-WEEKDAY($J80,2),7))/7)+1)</f>
        <v>5</v>
      </c>
      <c r="J80" s="11" t="n">
        <f aca="false">'Programme de vols'!$X$5</f>
        <v>46508</v>
      </c>
      <c r="K80" s="11" t="n">
        <f aca="false">EOMONTH($J80,0)</f>
        <v>46538</v>
      </c>
      <c r="L80" s="32" t="n">
        <f aca="false">$K80-$J80+1</f>
        <v>31</v>
      </c>
    </row>
    <row r="81" customFormat="false" ht="15" hidden="false" customHeight="false" outlineLevel="0" collapsed="false">
      <c r="B81" s="10" t="str">
        <f aca="false">'Programme de vols'!$W$6</f>
        <v>juin 2027</v>
      </c>
      <c r="C81" s="32" t="n">
        <f aca="false">IF(MOD(1-WEEKDAY($J81,2),7)&gt;=$L81,0,INT(($L81-1-MOD(1-WEEKDAY($J81,2),7))/7)+1)</f>
        <v>4</v>
      </c>
      <c r="D81" s="32" t="n">
        <f aca="false">IF(MOD(2-WEEKDAY($J81,2),7)&gt;=$L81,0,INT(($L81-1-MOD(2-WEEKDAY($J81,2),7))/7)+1)</f>
        <v>5</v>
      </c>
      <c r="E81" s="32" t="n">
        <f aca="false">IF(MOD(3-WEEKDAY($J81,2),7)&gt;=$L81,0,INT(($L81-1-MOD(3-WEEKDAY($J81,2),7))/7)+1)</f>
        <v>5</v>
      </c>
      <c r="F81" s="32" t="n">
        <f aca="false">IF(MOD(4-WEEKDAY($J81,2),7)&gt;=$L81,0,INT(($L81-1-MOD(4-WEEKDAY($J81,2),7))/7)+1)</f>
        <v>4</v>
      </c>
      <c r="G81" s="32" t="n">
        <f aca="false">IF(MOD(5-WEEKDAY($J81,2),7)&gt;=$L81,0,INT(($L81-1-MOD(5-WEEKDAY($J81,2),7))/7)+1)</f>
        <v>4</v>
      </c>
      <c r="H81" s="32" t="n">
        <f aca="false">IF(MOD(6-WEEKDAY($J81,2),7)&gt;=$L81,0,INT(($L81-1-MOD(6-WEEKDAY($J81,2),7))/7)+1)</f>
        <v>4</v>
      </c>
      <c r="I81" s="32" t="n">
        <f aca="false">IF(MOD(7-WEEKDAY($J81,2),7)&gt;=$L81,0,INT(($L81-1-MOD(7-WEEKDAY($J81,2),7))/7)+1)</f>
        <v>4</v>
      </c>
      <c r="J81" s="11" t="n">
        <f aca="false">'Programme de vols'!$X$6</f>
        <v>46539</v>
      </c>
      <c r="K81" s="11" t="n">
        <f aca="false">EOMONTH($J81,0)</f>
        <v>46568</v>
      </c>
      <c r="L81" s="32" t="n">
        <f aca="false">$K81-$J81+1</f>
        <v>30</v>
      </c>
    </row>
    <row r="82" customFormat="false" ht="15" hidden="false" customHeight="false" outlineLevel="0" collapsed="false">
      <c r="B82" s="10" t="str">
        <f aca="false">'Programme de vols'!$W$7</f>
        <v>juillet 2027</v>
      </c>
      <c r="C82" s="32" t="n">
        <f aca="false">IF(MOD(1-WEEKDAY($J82,2),7)&gt;=$L82,0,INT(($L82-1-MOD(1-WEEKDAY($J82,2),7))/7)+1)</f>
        <v>4</v>
      </c>
      <c r="D82" s="32" t="n">
        <f aca="false">IF(MOD(2-WEEKDAY($J82,2),7)&gt;=$L82,0,INT(($L82-1-MOD(2-WEEKDAY($J82,2),7))/7)+1)</f>
        <v>4</v>
      </c>
      <c r="E82" s="32" t="n">
        <f aca="false">IF(MOD(3-WEEKDAY($J82,2),7)&gt;=$L82,0,INT(($L82-1-MOD(3-WEEKDAY($J82,2),7))/7)+1)</f>
        <v>4</v>
      </c>
      <c r="F82" s="32" t="n">
        <f aca="false">IF(MOD(4-WEEKDAY($J82,2),7)&gt;=$L82,0,INT(($L82-1-MOD(4-WEEKDAY($J82,2),7))/7)+1)</f>
        <v>5</v>
      </c>
      <c r="G82" s="32" t="n">
        <f aca="false">IF(MOD(5-WEEKDAY($J82,2),7)&gt;=$L82,0,INT(($L82-1-MOD(5-WEEKDAY($J82,2),7))/7)+1)</f>
        <v>5</v>
      </c>
      <c r="H82" s="32" t="n">
        <f aca="false">IF(MOD(6-WEEKDAY($J82,2),7)&gt;=$L82,0,INT(($L82-1-MOD(6-WEEKDAY($J82,2),7))/7)+1)</f>
        <v>5</v>
      </c>
      <c r="I82" s="32" t="n">
        <f aca="false">IF(MOD(7-WEEKDAY($J82,2),7)&gt;=$L82,0,INT(($L82-1-MOD(7-WEEKDAY($J82,2),7))/7)+1)</f>
        <v>4</v>
      </c>
      <c r="J82" s="11" t="n">
        <f aca="false">'Programme de vols'!$X$7</f>
        <v>46569</v>
      </c>
      <c r="K82" s="11" t="n">
        <f aca="false">EOMONTH($J82,0)</f>
        <v>46599</v>
      </c>
      <c r="L82" s="32" t="n">
        <f aca="false">$K82-$J82+1</f>
        <v>31</v>
      </c>
    </row>
    <row r="83" customFormat="false" ht="15" hidden="false" customHeight="false" outlineLevel="0" collapsed="false">
      <c r="B83" s="10" t="str">
        <f aca="false">'Programme de vols'!$W$8</f>
        <v>aout 2027</v>
      </c>
      <c r="C83" s="32" t="n">
        <f aca="false">IF(MOD(1-WEEKDAY($J83,2),7)&gt;=$L83,0,INT(($L83-1-MOD(1-WEEKDAY($J83,2),7))/7)+1)</f>
        <v>5</v>
      </c>
      <c r="D83" s="32" t="n">
        <f aca="false">IF(MOD(2-WEEKDAY($J83,2),7)&gt;=$L83,0,INT(($L83-1-MOD(2-WEEKDAY($J83,2),7))/7)+1)</f>
        <v>5</v>
      </c>
      <c r="E83" s="32" t="n">
        <f aca="false">IF(MOD(3-WEEKDAY($J83,2),7)&gt;=$L83,0,INT(($L83-1-MOD(3-WEEKDAY($J83,2),7))/7)+1)</f>
        <v>4</v>
      </c>
      <c r="F83" s="32" t="n">
        <f aca="false">IF(MOD(4-WEEKDAY($J83,2),7)&gt;=$L83,0,INT(($L83-1-MOD(4-WEEKDAY($J83,2),7))/7)+1)</f>
        <v>4</v>
      </c>
      <c r="G83" s="32" t="n">
        <f aca="false">IF(MOD(5-WEEKDAY($J83,2),7)&gt;=$L83,0,INT(($L83-1-MOD(5-WEEKDAY($J83,2),7))/7)+1)</f>
        <v>4</v>
      </c>
      <c r="H83" s="32" t="n">
        <f aca="false">IF(MOD(6-WEEKDAY($J83,2),7)&gt;=$L83,0,INT(($L83-1-MOD(6-WEEKDAY($J83,2),7))/7)+1)</f>
        <v>4</v>
      </c>
      <c r="I83" s="32" t="n">
        <f aca="false">IF(MOD(7-WEEKDAY($J83,2),7)&gt;=$L83,0,INT(($L83-1-MOD(7-WEEKDAY($J83,2),7))/7)+1)</f>
        <v>5</v>
      </c>
      <c r="J83" s="11" t="n">
        <f aca="false">'Programme de vols'!$X$8</f>
        <v>46600</v>
      </c>
      <c r="K83" s="11" t="n">
        <f aca="false">EOMONTH($J83,0)</f>
        <v>46630</v>
      </c>
      <c r="L83" s="32" t="n">
        <f aca="false">$K83-$J83+1</f>
        <v>31</v>
      </c>
    </row>
    <row r="84" customFormat="false" ht="15" hidden="false" customHeight="false" outlineLevel="0" collapsed="false">
      <c r="B84" s="10" t="str">
        <f aca="false">'Programme de vols'!$W$9</f>
        <v>septembre 2027</v>
      </c>
      <c r="C84" s="32" t="n">
        <f aca="false">IF(MOD(1-WEEKDAY($J84,2),7)&gt;=$L84,0,INT(($L84-1-MOD(1-WEEKDAY($J84,2),7))/7)+1)</f>
        <v>4</v>
      </c>
      <c r="D84" s="32" t="n">
        <f aca="false">IF(MOD(2-WEEKDAY($J84,2),7)&gt;=$L84,0,INT(($L84-1-MOD(2-WEEKDAY($J84,2),7))/7)+1)</f>
        <v>4</v>
      </c>
      <c r="E84" s="32" t="n">
        <f aca="false">IF(MOD(3-WEEKDAY($J84,2),7)&gt;=$L84,0,INT(($L84-1-MOD(3-WEEKDAY($J84,2),7))/7)+1)</f>
        <v>5</v>
      </c>
      <c r="F84" s="32" t="n">
        <f aca="false">IF(MOD(4-WEEKDAY($J84,2),7)&gt;=$L84,0,INT(($L84-1-MOD(4-WEEKDAY($J84,2),7))/7)+1)</f>
        <v>5</v>
      </c>
      <c r="G84" s="32" t="n">
        <f aca="false">IF(MOD(5-WEEKDAY($J84,2),7)&gt;=$L84,0,INT(($L84-1-MOD(5-WEEKDAY($J84,2),7))/7)+1)</f>
        <v>4</v>
      </c>
      <c r="H84" s="32" t="n">
        <f aca="false">IF(MOD(6-WEEKDAY($J84,2),7)&gt;=$L84,0,INT(($L84-1-MOD(6-WEEKDAY($J84,2),7))/7)+1)</f>
        <v>4</v>
      </c>
      <c r="I84" s="32" t="n">
        <f aca="false">IF(MOD(7-WEEKDAY($J84,2),7)&gt;=$L84,0,INT(($L84-1-MOD(7-WEEKDAY($J84,2),7))/7)+1)</f>
        <v>4</v>
      </c>
      <c r="J84" s="11" t="n">
        <f aca="false">'Programme de vols'!$X$9</f>
        <v>46631</v>
      </c>
      <c r="K84" s="11" t="n">
        <f aca="false">EOMONTH($J84,0)</f>
        <v>46660</v>
      </c>
      <c r="L84" s="32" t="n">
        <f aca="false">$K84-$J84+1</f>
        <v>30</v>
      </c>
    </row>
    <row r="85" customFormat="false" ht="15" hidden="false" customHeight="false" outlineLevel="0" collapsed="false">
      <c r="B85" s="10" t="str">
        <f aca="false">'Programme de vols'!$W$10</f>
        <v>octobre 2027</v>
      </c>
      <c r="C85" s="32" t="n">
        <f aca="false">IF(MOD(1-WEEKDAY($J85,2),7)&gt;=$L85,0,INT(($L85-1-MOD(1-WEEKDAY($J85,2),7))/7)+1)</f>
        <v>4</v>
      </c>
      <c r="D85" s="32" t="n">
        <f aca="false">IF(MOD(2-WEEKDAY($J85,2),7)&gt;=$L85,0,INT(($L85-1-MOD(2-WEEKDAY($J85,2),7))/7)+1)</f>
        <v>4</v>
      </c>
      <c r="E85" s="32" t="n">
        <f aca="false">IF(MOD(3-WEEKDAY($J85,2),7)&gt;=$L85,0,INT(($L85-1-MOD(3-WEEKDAY($J85,2),7))/7)+1)</f>
        <v>4</v>
      </c>
      <c r="F85" s="32" t="n">
        <f aca="false">IF(MOD(4-WEEKDAY($J85,2),7)&gt;=$L85,0,INT(($L85-1-MOD(4-WEEKDAY($J85,2),7))/7)+1)</f>
        <v>4</v>
      </c>
      <c r="G85" s="32" t="n">
        <f aca="false">IF(MOD(5-WEEKDAY($J85,2),7)&gt;=$L85,0,INT(($L85-1-MOD(5-WEEKDAY($J85,2),7))/7)+1)</f>
        <v>5</v>
      </c>
      <c r="H85" s="32" t="n">
        <f aca="false">IF(MOD(6-WEEKDAY($J85,2),7)&gt;=$L85,0,INT(($L85-1-MOD(6-WEEKDAY($J85,2),7))/7)+1)</f>
        <v>5</v>
      </c>
      <c r="I85" s="32" t="n">
        <f aca="false">IF(MOD(7-WEEKDAY($J85,2),7)&gt;=$L85,0,INT(($L85-1-MOD(7-WEEKDAY($J85,2),7))/7)+1)</f>
        <v>5</v>
      </c>
      <c r="J85" s="11" t="n">
        <f aca="false">'Programme de vols'!$X$10</f>
        <v>46661</v>
      </c>
      <c r="K85" s="11" t="n">
        <f aca="false">EOMONTH($J85,0)</f>
        <v>46691</v>
      </c>
      <c r="L85" s="32" t="n">
        <f aca="false">$K85-$J85+1</f>
        <v>31</v>
      </c>
    </row>
    <row r="86" customFormat="false" ht="15" hidden="false" customHeight="false" outlineLevel="0" collapsed="false">
      <c r="B86" s="10" t="str">
        <f aca="false">'Programme de vols'!$W$11</f>
        <v>novembre 2027</v>
      </c>
      <c r="C86" s="32" t="n">
        <f aca="false">IF(MOD(1-WEEKDAY($J86,2),7)&gt;=$L86,0,INT(($L86-1-MOD(1-WEEKDAY($J86,2),7))/7)+1)</f>
        <v>5</v>
      </c>
      <c r="D86" s="32" t="n">
        <f aca="false">IF(MOD(2-WEEKDAY($J86,2),7)&gt;=$L86,0,INT(($L86-1-MOD(2-WEEKDAY($J86,2),7))/7)+1)</f>
        <v>5</v>
      </c>
      <c r="E86" s="32" t="n">
        <f aca="false">IF(MOD(3-WEEKDAY($J86,2),7)&gt;=$L86,0,INT(($L86-1-MOD(3-WEEKDAY($J86,2),7))/7)+1)</f>
        <v>4</v>
      </c>
      <c r="F86" s="32" t="n">
        <f aca="false">IF(MOD(4-WEEKDAY($J86,2),7)&gt;=$L86,0,INT(($L86-1-MOD(4-WEEKDAY($J86,2),7))/7)+1)</f>
        <v>4</v>
      </c>
      <c r="G86" s="32" t="n">
        <f aca="false">IF(MOD(5-WEEKDAY($J86,2),7)&gt;=$L86,0,INT(($L86-1-MOD(5-WEEKDAY($J86,2),7))/7)+1)</f>
        <v>4</v>
      </c>
      <c r="H86" s="32" t="n">
        <f aca="false">IF(MOD(6-WEEKDAY($J86,2),7)&gt;=$L86,0,INT(($L86-1-MOD(6-WEEKDAY($J86,2),7))/7)+1)</f>
        <v>4</v>
      </c>
      <c r="I86" s="32" t="n">
        <f aca="false">IF(MOD(7-WEEKDAY($J86,2),7)&gt;=$L86,0,INT(($L86-1-MOD(7-WEEKDAY($J86,2),7))/7)+1)</f>
        <v>4</v>
      </c>
      <c r="J86" s="11" t="n">
        <f aca="false">'Programme de vols'!$X$11</f>
        <v>46692</v>
      </c>
      <c r="K86" s="11" t="n">
        <f aca="false">EOMONTH($J86,0)</f>
        <v>46721</v>
      </c>
      <c r="L86" s="32" t="n">
        <f aca="false">$K86-$J86+1</f>
        <v>30</v>
      </c>
    </row>
    <row r="87" customFormat="false" ht="15" hidden="false" customHeight="false" outlineLevel="0" collapsed="false">
      <c r="B87" s="10" t="str">
        <f aca="false">'Programme de vols'!$W$12</f>
        <v>decembre 2027</v>
      </c>
      <c r="C87" s="32" t="n">
        <f aca="false">IF(MOD(1-WEEKDAY($J87,2),7)&gt;=$L87,0,INT(($L87-1-MOD(1-WEEKDAY($J87,2),7))/7)+1)</f>
        <v>4</v>
      </c>
      <c r="D87" s="32" t="n">
        <f aca="false">IF(MOD(2-WEEKDAY($J87,2),7)&gt;=$L87,0,INT(($L87-1-MOD(2-WEEKDAY($J87,2),7))/7)+1)</f>
        <v>4</v>
      </c>
      <c r="E87" s="32" t="n">
        <f aca="false">IF(MOD(3-WEEKDAY($J87,2),7)&gt;=$L87,0,INT(($L87-1-MOD(3-WEEKDAY($J87,2),7))/7)+1)</f>
        <v>5</v>
      </c>
      <c r="F87" s="32" t="n">
        <f aca="false">IF(MOD(4-WEEKDAY($J87,2),7)&gt;=$L87,0,INT(($L87-1-MOD(4-WEEKDAY($J87,2),7))/7)+1)</f>
        <v>5</v>
      </c>
      <c r="G87" s="32" t="n">
        <f aca="false">IF(MOD(5-WEEKDAY($J87,2),7)&gt;=$L87,0,INT(($L87-1-MOD(5-WEEKDAY($J87,2),7))/7)+1)</f>
        <v>5</v>
      </c>
      <c r="H87" s="32" t="n">
        <f aca="false">IF(MOD(6-WEEKDAY($J87,2),7)&gt;=$L87,0,INT(($L87-1-MOD(6-WEEKDAY($J87,2),7))/7)+1)</f>
        <v>4</v>
      </c>
      <c r="I87" s="32" t="n">
        <f aca="false">IF(MOD(7-WEEKDAY($J87,2),7)&gt;=$L87,0,INT(($L87-1-MOD(7-WEEKDAY($J87,2),7))/7)+1)</f>
        <v>4</v>
      </c>
      <c r="J87" s="11" t="n">
        <f aca="false">'Programme de vols'!$X$12</f>
        <v>46722</v>
      </c>
      <c r="K87" s="11" t="n">
        <f aca="false">EOMONTH($J87,0)</f>
        <v>46752</v>
      </c>
      <c r="L87" s="32" t="n">
        <f aca="false">$K87-$J87+1</f>
        <v>31</v>
      </c>
    </row>
    <row r="88" customFormat="false" ht="15" hidden="false" customHeight="false" outlineLevel="0" collapsed="false">
      <c r="B88" s="10" t="str">
        <f aca="false">'Programme de vols'!$W$13</f>
        <v>janvier 2028</v>
      </c>
      <c r="C88" s="32" t="n">
        <f aca="false">IF(MOD(1-WEEKDAY($J88,2),7)&gt;=$L88,0,INT(($L88-1-MOD(1-WEEKDAY($J88,2),7))/7)+1)</f>
        <v>5</v>
      </c>
      <c r="D88" s="32" t="n">
        <f aca="false">IF(MOD(2-WEEKDAY($J88,2),7)&gt;=$L88,0,INT(($L88-1-MOD(2-WEEKDAY($J88,2),7))/7)+1)</f>
        <v>4</v>
      </c>
      <c r="E88" s="32" t="n">
        <f aca="false">IF(MOD(3-WEEKDAY($J88,2),7)&gt;=$L88,0,INT(($L88-1-MOD(3-WEEKDAY($J88,2),7))/7)+1)</f>
        <v>4</v>
      </c>
      <c r="F88" s="32" t="n">
        <f aca="false">IF(MOD(4-WEEKDAY($J88,2),7)&gt;=$L88,0,INT(($L88-1-MOD(4-WEEKDAY($J88,2),7))/7)+1)</f>
        <v>4</v>
      </c>
      <c r="G88" s="32" t="n">
        <f aca="false">IF(MOD(5-WEEKDAY($J88,2),7)&gt;=$L88,0,INT(($L88-1-MOD(5-WEEKDAY($J88,2),7))/7)+1)</f>
        <v>4</v>
      </c>
      <c r="H88" s="32" t="n">
        <f aca="false">IF(MOD(6-WEEKDAY($J88,2),7)&gt;=$L88,0,INT(($L88-1-MOD(6-WEEKDAY($J88,2),7))/7)+1)</f>
        <v>5</v>
      </c>
      <c r="I88" s="32" t="n">
        <f aca="false">IF(MOD(7-WEEKDAY($J88,2),7)&gt;=$L88,0,INT(($L88-1-MOD(7-WEEKDAY($J88,2),7))/7)+1)</f>
        <v>5</v>
      </c>
      <c r="J88" s="11" t="n">
        <f aca="false">'Programme de vols'!$X$13</f>
        <v>46753</v>
      </c>
      <c r="K88" s="11" t="n">
        <f aca="false">EOMONTH($J88,0)</f>
        <v>46783</v>
      </c>
      <c r="L88" s="32" t="n">
        <f aca="false">$K88-$J88+1</f>
        <v>31</v>
      </c>
    </row>
    <row r="89" customFormat="false" ht="15" hidden="false" customHeight="false" outlineLevel="0" collapsed="false">
      <c r="B89" s="10" t="str">
        <f aca="false">'Programme de vols'!$W$14</f>
        <v>fevrier 2028</v>
      </c>
      <c r="C89" s="32" t="n">
        <f aca="false">IF(MOD(1-WEEKDAY($J89,2),7)&gt;=$L89,0,INT(($L89-1-MOD(1-WEEKDAY($J89,2),7))/7)+1)</f>
        <v>4</v>
      </c>
      <c r="D89" s="32" t="n">
        <f aca="false">IF(MOD(2-WEEKDAY($J89,2),7)&gt;=$L89,0,INT(($L89-1-MOD(2-WEEKDAY($J89,2),7))/7)+1)</f>
        <v>5</v>
      </c>
      <c r="E89" s="32" t="n">
        <f aca="false">IF(MOD(3-WEEKDAY($J89,2),7)&gt;=$L89,0,INT(($L89-1-MOD(3-WEEKDAY($J89,2),7))/7)+1)</f>
        <v>4</v>
      </c>
      <c r="F89" s="32" t="n">
        <f aca="false">IF(MOD(4-WEEKDAY($J89,2),7)&gt;=$L89,0,INT(($L89-1-MOD(4-WEEKDAY($J89,2),7))/7)+1)</f>
        <v>4</v>
      </c>
      <c r="G89" s="32" t="n">
        <f aca="false">IF(MOD(5-WEEKDAY($J89,2),7)&gt;=$L89,0,INT(($L89-1-MOD(5-WEEKDAY($J89,2),7))/7)+1)</f>
        <v>4</v>
      </c>
      <c r="H89" s="32" t="n">
        <f aca="false">IF(MOD(6-WEEKDAY($J89,2),7)&gt;=$L89,0,INT(($L89-1-MOD(6-WEEKDAY($J89,2),7))/7)+1)</f>
        <v>4</v>
      </c>
      <c r="I89" s="32" t="n">
        <f aca="false">IF(MOD(7-WEEKDAY($J89,2),7)&gt;=$L89,0,INT(($L89-1-MOD(7-WEEKDAY($J89,2),7))/7)+1)</f>
        <v>4</v>
      </c>
      <c r="J89" s="11" t="n">
        <f aca="false">'Programme de vols'!$X$14</f>
        <v>46784</v>
      </c>
      <c r="K89" s="11" t="n">
        <f aca="false">EOMONTH($J89,0)</f>
        <v>46812</v>
      </c>
      <c r="L89" s="32" t="n">
        <f aca="false">$K89-$J89+1</f>
        <v>29</v>
      </c>
    </row>
    <row r="90" customFormat="false" ht="15" hidden="false" customHeight="false" outlineLevel="0" collapsed="false">
      <c r="B90" s="10" t="str">
        <f aca="false">'Programme de vols'!$W$15</f>
        <v>mars 2028</v>
      </c>
      <c r="C90" s="32" t="n">
        <f aca="false">IF(MOD(1-WEEKDAY($J90,2),7)&gt;=$L90,0,INT(($L90-1-MOD(1-WEEKDAY($J90,2),7))/7)+1)</f>
        <v>4</v>
      </c>
      <c r="D90" s="32" t="n">
        <f aca="false">IF(MOD(2-WEEKDAY($J90,2),7)&gt;=$L90,0,INT(($L90-1-MOD(2-WEEKDAY($J90,2),7))/7)+1)</f>
        <v>4</v>
      </c>
      <c r="E90" s="32" t="n">
        <f aca="false">IF(MOD(3-WEEKDAY($J90,2),7)&gt;=$L90,0,INT(($L90-1-MOD(3-WEEKDAY($J90,2),7))/7)+1)</f>
        <v>5</v>
      </c>
      <c r="F90" s="32" t="n">
        <f aca="false">IF(MOD(4-WEEKDAY($J90,2),7)&gt;=$L90,0,INT(($L90-1-MOD(4-WEEKDAY($J90,2),7))/7)+1)</f>
        <v>5</v>
      </c>
      <c r="G90" s="32" t="n">
        <f aca="false">IF(MOD(5-WEEKDAY($J90,2),7)&gt;=$L90,0,INT(($L90-1-MOD(5-WEEKDAY($J90,2),7))/7)+1)</f>
        <v>5</v>
      </c>
      <c r="H90" s="32" t="n">
        <f aca="false">IF(MOD(6-WEEKDAY($J90,2),7)&gt;=$L90,0,INT(($L90-1-MOD(6-WEEKDAY($J90,2),7))/7)+1)</f>
        <v>4</v>
      </c>
      <c r="I90" s="32" t="n">
        <f aca="false">IF(MOD(7-WEEKDAY($J90,2),7)&gt;=$L90,0,INT(($L90-1-MOD(7-WEEKDAY($J90,2),7))/7)+1)</f>
        <v>4</v>
      </c>
      <c r="J90" s="11" t="n">
        <f aca="false">'Programme de vols'!$X$15</f>
        <v>46813</v>
      </c>
      <c r="K90" s="11" t="n">
        <f aca="false">EOMONTH($J90,0)</f>
        <v>46843</v>
      </c>
      <c r="L90" s="32" t="n">
        <f aca="false">$K90-$J90+1</f>
        <v>31</v>
      </c>
    </row>
    <row r="92" customFormat="false" ht="15" hidden="false" customHeight="false" outlineLevel="0" collapsed="false">
      <c r="B92" s="117" t="s">
        <v>192</v>
      </c>
      <c r="C92" s="117"/>
      <c r="D92" s="117"/>
      <c r="E92" s="117"/>
      <c r="F92" s="117"/>
      <c r="G92" s="117"/>
      <c r="H92" s="117"/>
      <c r="I92" s="117"/>
      <c r="J92" s="117"/>
      <c r="K92" s="117"/>
      <c r="L92" s="117"/>
      <c r="M92" s="117"/>
      <c r="N92" s="117"/>
    </row>
    <row r="93" customFormat="false" ht="15" hidden="false" customHeight="false" outlineLevel="0" collapsed="false">
      <c r="B93" s="25" t="s">
        <v>98</v>
      </c>
      <c r="C93" s="118" t="str">
        <f aca="false">'Programme de vols'!$W$4</f>
        <v>avril 2027</v>
      </c>
      <c r="D93" s="118" t="str">
        <f aca="false">'Programme de vols'!$W$5</f>
        <v>mai 2027</v>
      </c>
      <c r="E93" s="118" t="str">
        <f aca="false">'Programme de vols'!$W$6</f>
        <v>juin 2027</v>
      </c>
      <c r="F93" s="118" t="str">
        <f aca="false">'Programme de vols'!$W$7</f>
        <v>juillet 2027</v>
      </c>
      <c r="G93" s="118" t="str">
        <f aca="false">'Programme de vols'!$W$8</f>
        <v>aout 2027</v>
      </c>
      <c r="H93" s="118" t="str">
        <f aca="false">'Programme de vols'!$W$9</f>
        <v>septembre 2027</v>
      </c>
      <c r="I93" s="118" t="str">
        <f aca="false">'Programme de vols'!$W$10</f>
        <v>octobre 2027</v>
      </c>
      <c r="J93" s="118" t="str">
        <f aca="false">'Programme de vols'!$W$11</f>
        <v>novembre 2027</v>
      </c>
      <c r="K93" s="118" t="str">
        <f aca="false">'Programme de vols'!$W$12</f>
        <v>decembre 2027</v>
      </c>
      <c r="L93" s="118" t="str">
        <f aca="false">'Programme de vols'!$W$13</f>
        <v>janvier 2028</v>
      </c>
      <c r="M93" s="118" t="str">
        <f aca="false">'Programme de vols'!$W$14</f>
        <v>fevrier 2028</v>
      </c>
      <c r="N93" s="118" t="str">
        <f aca="false">'Programme de vols'!$W$15</f>
        <v>mars 2028</v>
      </c>
      <c r="O93" s="25" t="s">
        <v>84</v>
      </c>
      <c r="P93" s="25" t="s">
        <v>193</v>
      </c>
    </row>
    <row r="94" customFormat="false" ht="15" hidden="false" customHeight="false" outlineLevel="0" collapsed="false">
      <c r="B94" s="10" t="s">
        <v>99</v>
      </c>
      <c r="C94" s="32" t="n">
        <f aca="false">SUMPRODUCT($C$79:$I$79,LEN(INDEX('Saisie programme'!$D$13:$J$477,1,0)))+SUMIFS('Vols additionnels'!$E$7:$E$66,'Vols additionnels'!$C$7:$C$66,"CDGRUN",'Vols additionnels'!$D$7:$D$66,"77W",'Vols additionnels'!$B$7:$B$66,"&gt;="&amp;$J$79,'Vols additionnels'!$B$7:$B$66,"&lt;="&amp;$K$79)</f>
        <v>30</v>
      </c>
      <c r="D94" s="32" t="n">
        <f aca="false">SUMPRODUCT($C$80:$I$80,LEN(INDEX('Saisie programme'!$D$13:$J$477,40,0)))+SUMIFS('Vols additionnels'!$E$7:$E$66,'Vols additionnels'!$C$7:$C$66,"CDGRUN",'Vols additionnels'!$D$7:$D$66,"77W",'Vols additionnels'!$B$7:$B$66,"&gt;="&amp;$J$80,'Vols additionnels'!$B$7:$B$66,"&lt;="&amp;$K$80)</f>
        <v>31</v>
      </c>
      <c r="E94" s="32" t="n">
        <f aca="false">SUMPRODUCT($C$81:$I$81,LEN(INDEX('Saisie programme'!$D$13:$J$477,79,0)))+SUMIFS('Vols additionnels'!$E$7:$E$66,'Vols additionnels'!$C$7:$C$66,"CDGRUN",'Vols additionnels'!$D$7:$D$66,"77W",'Vols additionnels'!$B$7:$B$66,"&gt;="&amp;$J$81,'Vols additionnels'!$B$7:$B$66,"&lt;="&amp;$K$81)</f>
        <v>30</v>
      </c>
      <c r="F94" s="32" t="n">
        <f aca="false">SUMPRODUCT($C$82:$I$82,LEN(INDEX('Saisie programme'!$D$13:$J$477,118,0)))+SUMIFS('Vols additionnels'!$E$7:$E$66,'Vols additionnels'!$C$7:$C$66,"CDGRUN",'Vols additionnels'!$D$7:$D$66,"77W",'Vols additionnels'!$B$7:$B$66,"&gt;="&amp;$J$82,'Vols additionnels'!$B$7:$B$66,"&lt;="&amp;$K$82)</f>
        <v>31</v>
      </c>
      <c r="G94" s="32" t="n">
        <f aca="false">SUMPRODUCT($C$83:$I$83,LEN(INDEX('Saisie programme'!$D$13:$J$477,157,0)))+SUMIFS('Vols additionnels'!$E$7:$E$66,'Vols additionnels'!$C$7:$C$66,"CDGRUN",'Vols additionnels'!$D$7:$D$66,"77W",'Vols additionnels'!$B$7:$B$66,"&gt;="&amp;$J$83,'Vols additionnels'!$B$7:$B$66,"&lt;="&amp;$K$83)</f>
        <v>31</v>
      </c>
      <c r="H94" s="32" t="n">
        <f aca="false">SUMPRODUCT($C$84:$I$84,LEN(INDEX('Saisie programme'!$D$13:$J$477,196,0)))+SUMIFS('Vols additionnels'!$E$7:$E$66,'Vols additionnels'!$C$7:$C$66,"CDGRUN",'Vols additionnels'!$D$7:$D$66,"77W",'Vols additionnels'!$B$7:$B$66,"&gt;="&amp;$J$84,'Vols additionnels'!$B$7:$B$66,"&lt;="&amp;$K$84)</f>
        <v>30</v>
      </c>
      <c r="I94" s="32" t="n">
        <f aca="false">SUMPRODUCT($C$85:$I$85,LEN(INDEX('Saisie programme'!$D$13:$J$477,235,0)))+SUMIFS('Vols additionnels'!$E$7:$E$66,'Vols additionnels'!$C$7:$C$66,"CDGRUN",'Vols additionnels'!$D$7:$D$66,"77W",'Vols additionnels'!$B$7:$B$66,"&gt;="&amp;$J$85,'Vols additionnels'!$B$7:$B$66,"&lt;="&amp;$K$85)</f>
        <v>31</v>
      </c>
      <c r="J94" s="32" t="n">
        <f aca="false">SUMPRODUCT($C$86:$I$86,LEN(INDEX('Saisie programme'!$D$13:$J$477,274,0)))+SUMIFS('Vols additionnels'!$E$7:$E$66,'Vols additionnels'!$C$7:$C$66,"CDGRUN",'Vols additionnels'!$D$7:$D$66,"77W",'Vols additionnels'!$B$7:$B$66,"&gt;="&amp;$J$86,'Vols additionnels'!$B$7:$B$66,"&lt;="&amp;$K$86)</f>
        <v>30</v>
      </c>
      <c r="K94" s="32" t="n">
        <f aca="false">SUMPRODUCT($C$87:$I$87,LEN(INDEX('Saisie programme'!$D$13:$J$477,313,0)))+SUMIFS('Vols additionnels'!$E$7:$E$66,'Vols additionnels'!$C$7:$C$66,"CDGRUN",'Vols additionnels'!$D$7:$D$66,"77W",'Vols additionnels'!$B$7:$B$66,"&gt;="&amp;$J$87,'Vols additionnels'!$B$7:$B$66,"&lt;="&amp;$K$87)</f>
        <v>31</v>
      </c>
      <c r="L94" s="32" t="n">
        <f aca="false">SUMPRODUCT($C$88:$I$88,LEN(INDEX('Saisie programme'!$D$13:$J$477,352,0)))+SUMIFS('Vols additionnels'!$E$7:$E$66,'Vols additionnels'!$C$7:$C$66,"CDGRUN",'Vols additionnels'!$D$7:$D$66,"77W",'Vols additionnels'!$B$7:$B$66,"&gt;="&amp;$J$88,'Vols additionnels'!$B$7:$B$66,"&lt;="&amp;$K$88)</f>
        <v>31</v>
      </c>
      <c r="M94" s="32" t="n">
        <f aca="false">SUMPRODUCT($C$89:$I$89,LEN(INDEX('Saisie programme'!$D$13:$J$477,391,0)))+SUMIFS('Vols additionnels'!$E$7:$E$66,'Vols additionnels'!$C$7:$C$66,"CDGRUN",'Vols additionnels'!$D$7:$D$66,"77W",'Vols additionnels'!$B$7:$B$66,"&gt;="&amp;$J$89,'Vols additionnels'!$B$7:$B$66,"&lt;="&amp;$K$89)</f>
        <v>29</v>
      </c>
      <c r="N94" s="32" t="n">
        <f aca="false">SUMPRODUCT($C$90:$I$90,LEN(INDEX('Saisie programme'!$D$13:$J$477,430,0)))+SUMIFS('Vols additionnels'!$E$7:$E$66,'Vols additionnels'!$C$7:$C$66,"CDGRUN",'Vols additionnels'!$D$7:$D$66,"77W",'Vols additionnels'!$B$7:$B$66,"&gt;="&amp;$J$90,'Vols additionnels'!$B$7:$B$66,"&lt;="&amp;$K$90)</f>
        <v>31</v>
      </c>
      <c r="O94" s="12" t="s">
        <v>12</v>
      </c>
      <c r="P94" s="12" t="s">
        <v>11</v>
      </c>
    </row>
    <row r="95" customFormat="false" ht="15" hidden="false" customHeight="false" outlineLevel="0" collapsed="false">
      <c r="B95" s="10" t="s">
        <v>100</v>
      </c>
      <c r="C95" s="32" t="n">
        <f aca="false">SUMPRODUCT($C$79:$I$79,LEN(INDEX('Saisie programme'!$D$13:$J$477,2,0)))+SUMIFS('Vols additionnels'!$E$7:$E$66,'Vols additionnels'!$C$7:$C$66,"CDGRUN",'Vols additionnels'!$D$7:$D$66,"787",'Vols additionnels'!$B$7:$B$66,"&gt;="&amp;$J$79,'Vols additionnels'!$B$7:$B$66,"&lt;="&amp;$K$79)</f>
        <v>9</v>
      </c>
      <c r="D95" s="32" t="n">
        <f aca="false">SUMPRODUCT($C$80:$I$80,LEN(INDEX('Saisie programme'!$D$13:$J$477,41,0)))+SUMIFS('Vols additionnels'!$E$7:$E$66,'Vols additionnels'!$C$7:$C$66,"CDGRUN",'Vols additionnels'!$D$7:$D$66,"787",'Vols additionnels'!$B$7:$B$66,"&gt;="&amp;$J$80,'Vols additionnels'!$B$7:$B$66,"&lt;="&amp;$K$80)</f>
        <v>9</v>
      </c>
      <c r="E95" s="32" t="n">
        <f aca="false">SUMPRODUCT($C$81:$I$81,LEN(INDEX('Saisie programme'!$D$13:$J$477,80,0)))+SUMIFS('Vols additionnels'!$E$7:$E$66,'Vols additionnels'!$C$7:$C$66,"CDGRUN",'Vols additionnels'!$D$7:$D$66,"787",'Vols additionnels'!$B$7:$B$66,"&gt;="&amp;$J$81,'Vols additionnels'!$B$7:$B$66,"&lt;="&amp;$K$81)</f>
        <v>8</v>
      </c>
      <c r="F95" s="32" t="n">
        <f aca="false">SUMPRODUCT($C$82:$I$82,LEN(INDEX('Saisie programme'!$D$13:$J$477,119,0)))+SUMIFS('Vols additionnels'!$E$7:$E$66,'Vols additionnels'!$C$7:$C$66,"CDGRUN",'Vols additionnels'!$D$7:$D$66,"787",'Vols additionnels'!$B$7:$B$66,"&gt;="&amp;$J$82,'Vols additionnels'!$B$7:$B$66,"&lt;="&amp;$K$82)</f>
        <v>9</v>
      </c>
      <c r="G95" s="32" t="n">
        <f aca="false">SUMPRODUCT($C$83:$I$83,LEN(INDEX('Saisie programme'!$D$13:$J$477,158,0)))+SUMIFS('Vols additionnels'!$E$7:$E$66,'Vols additionnels'!$C$7:$C$66,"CDGRUN",'Vols additionnels'!$D$7:$D$66,"787",'Vols additionnels'!$B$7:$B$66,"&gt;="&amp;$J$83,'Vols additionnels'!$B$7:$B$66,"&lt;="&amp;$K$83)</f>
        <v>31</v>
      </c>
      <c r="H95" s="32" t="n">
        <f aca="false">SUMPRODUCT($C$84:$I$84,LEN(INDEX('Saisie programme'!$D$13:$J$477,197,0)))+SUMIFS('Vols additionnels'!$E$7:$E$66,'Vols additionnels'!$C$7:$C$66,"CDGRUN",'Vols additionnels'!$D$7:$D$66,"787",'Vols additionnels'!$B$7:$B$66,"&gt;="&amp;$J$84,'Vols additionnels'!$B$7:$B$66,"&lt;="&amp;$K$84)</f>
        <v>8</v>
      </c>
      <c r="I95" s="32" t="n">
        <f aca="false">SUMPRODUCT($C$85:$I$85,LEN(INDEX('Saisie programme'!$D$13:$J$477,236,0)))+SUMIFS('Vols additionnels'!$E$7:$E$66,'Vols additionnels'!$C$7:$C$66,"CDGRUN",'Vols additionnels'!$D$7:$D$66,"787",'Vols additionnels'!$B$7:$B$66,"&gt;="&amp;$J$85,'Vols additionnels'!$B$7:$B$66,"&lt;="&amp;$K$85)</f>
        <v>9</v>
      </c>
      <c r="J95" s="32" t="n">
        <f aca="false">SUMPRODUCT($C$86:$I$86,LEN(INDEX('Saisie programme'!$D$13:$J$477,275,0)))+SUMIFS('Vols additionnels'!$E$7:$E$66,'Vols additionnels'!$C$7:$C$66,"CDGRUN",'Vols additionnels'!$D$7:$D$66,"787",'Vols additionnels'!$B$7:$B$66,"&gt;="&amp;$J$86,'Vols additionnels'!$B$7:$B$66,"&lt;="&amp;$K$86)</f>
        <v>9</v>
      </c>
      <c r="K95" s="32" t="n">
        <f aca="false">SUMPRODUCT($C$87:$I$87,LEN(INDEX('Saisie programme'!$D$13:$J$477,314,0)))+SUMIFS('Vols additionnels'!$E$7:$E$66,'Vols additionnels'!$C$7:$C$66,"CDGRUN",'Vols additionnels'!$D$7:$D$66,"787",'Vols additionnels'!$B$7:$B$66,"&gt;="&amp;$J$87,'Vols additionnels'!$B$7:$B$66,"&lt;="&amp;$K$87)</f>
        <v>9</v>
      </c>
      <c r="L95" s="32" t="n">
        <f aca="false">SUMPRODUCT($C$88:$I$88,LEN(INDEX('Saisie programme'!$D$13:$J$477,353,0)))+SUMIFS('Vols additionnels'!$E$7:$E$66,'Vols additionnels'!$C$7:$C$66,"CDGRUN",'Vols additionnels'!$D$7:$D$66,"787",'Vols additionnels'!$B$7:$B$66,"&gt;="&amp;$J$88,'Vols additionnels'!$B$7:$B$66,"&lt;="&amp;$K$88)</f>
        <v>9</v>
      </c>
      <c r="M95" s="32" t="n">
        <f aca="false">SUMPRODUCT($C$89:$I$89,LEN(INDEX('Saisie programme'!$D$13:$J$477,392,0)))+SUMIFS('Vols additionnels'!$E$7:$E$66,'Vols additionnels'!$C$7:$C$66,"CDGRUN",'Vols additionnels'!$D$7:$D$66,"787",'Vols additionnels'!$B$7:$B$66,"&gt;="&amp;$J$89,'Vols additionnels'!$B$7:$B$66,"&lt;="&amp;$K$89)</f>
        <v>8</v>
      </c>
      <c r="N95" s="32" t="n">
        <f aca="false">SUMPRODUCT($C$90:$I$90,LEN(INDEX('Saisie programme'!$D$13:$J$477,431,0)))+SUMIFS('Vols additionnels'!$E$7:$E$66,'Vols additionnels'!$C$7:$C$66,"CDGRUN",'Vols additionnels'!$D$7:$D$66,"787",'Vols additionnels'!$B$7:$B$66,"&gt;="&amp;$J$90,'Vols additionnels'!$B$7:$B$66,"&lt;="&amp;$K$90)</f>
        <v>9</v>
      </c>
      <c r="O95" s="12" t="s">
        <v>12</v>
      </c>
      <c r="P95" s="12" t="s">
        <v>19</v>
      </c>
    </row>
    <row r="96" customFormat="false" ht="15" hidden="false" customHeight="false" outlineLevel="0" collapsed="false">
      <c r="B96" s="10" t="s">
        <v>101</v>
      </c>
      <c r="C96" s="32" t="n">
        <f aca="false">SUMPRODUCT($C$79:$I$79,LEN(INDEX('Saisie programme'!$D$13:$J$477,3,0)))+SUMIFS('Vols additionnels'!$E$7:$E$66,'Vols additionnels'!$C$7:$C$66,"CDGRUN",'Vols additionnels'!$D$7:$D$66,"A320",'Vols additionnels'!$B$7:$B$66,"&gt;="&amp;$J$79,'Vols additionnels'!$B$7:$B$66,"&lt;="&amp;$K$79)</f>
        <v>8</v>
      </c>
      <c r="D96" s="32" t="n">
        <f aca="false">SUMPRODUCT($C$80:$I$80,LEN(INDEX('Saisie programme'!$D$13:$J$477,42,0)))+SUMIFS('Vols additionnels'!$E$7:$E$66,'Vols additionnels'!$C$7:$C$66,"CDGRUN",'Vols additionnels'!$D$7:$D$66,"A320",'Vols additionnels'!$B$7:$B$66,"&gt;="&amp;$J$80,'Vols additionnels'!$B$7:$B$66,"&lt;="&amp;$K$80)</f>
        <v>10</v>
      </c>
      <c r="E96" s="32" t="n">
        <f aca="false">SUMPRODUCT($C$81:$I$81,LEN(INDEX('Saisie programme'!$D$13:$J$477,81,0)))+SUMIFS('Vols additionnels'!$E$7:$E$66,'Vols additionnels'!$C$7:$C$66,"CDGRUN",'Vols additionnels'!$D$7:$D$66,"A320",'Vols additionnels'!$B$7:$B$66,"&gt;="&amp;$J$81,'Vols additionnels'!$B$7:$B$66,"&lt;="&amp;$K$81)</f>
        <v>8</v>
      </c>
      <c r="F96" s="32" t="n">
        <f aca="false">SUMPRODUCT($C$82:$I$82,LEN(INDEX('Saisie programme'!$D$13:$J$477,120,0)))+SUMIFS('Vols additionnels'!$E$7:$E$66,'Vols additionnels'!$C$7:$C$66,"CDGRUN",'Vols additionnels'!$D$7:$D$66,"A320",'Vols additionnels'!$B$7:$B$66,"&gt;="&amp;$J$82,'Vols additionnels'!$B$7:$B$66,"&lt;="&amp;$K$82)</f>
        <v>8</v>
      </c>
      <c r="G96" s="32" t="n">
        <f aca="false">SUMPRODUCT($C$83:$I$83,LEN(INDEX('Saisie programme'!$D$13:$J$477,159,0)))+SUMIFS('Vols additionnels'!$E$7:$E$66,'Vols additionnels'!$C$7:$C$66,"CDGRUN",'Vols additionnels'!$D$7:$D$66,"A320",'Vols additionnels'!$B$7:$B$66,"&gt;="&amp;$J$83,'Vols additionnels'!$B$7:$B$66,"&lt;="&amp;$K$83)</f>
        <v>0</v>
      </c>
      <c r="H96" s="32" t="n">
        <f aca="false">SUMPRODUCT($C$84:$I$84,LEN(INDEX('Saisie programme'!$D$13:$J$477,198,0)))+SUMIFS('Vols additionnels'!$E$7:$E$66,'Vols additionnels'!$C$7:$C$66,"CDGRUN",'Vols additionnels'!$D$7:$D$66,"A320",'Vols additionnels'!$B$7:$B$66,"&gt;="&amp;$J$84,'Vols additionnels'!$B$7:$B$66,"&lt;="&amp;$K$84)</f>
        <v>8</v>
      </c>
      <c r="I96" s="32" t="n">
        <f aca="false">SUMPRODUCT($C$85:$I$85,LEN(INDEX('Saisie programme'!$D$13:$J$477,237,0)))+SUMIFS('Vols additionnels'!$E$7:$E$66,'Vols additionnels'!$C$7:$C$66,"CDGRUN",'Vols additionnels'!$D$7:$D$66,"A320",'Vols additionnels'!$B$7:$B$66,"&gt;="&amp;$J$85,'Vols additionnels'!$B$7:$B$66,"&lt;="&amp;$K$85)</f>
        <v>8</v>
      </c>
      <c r="J96" s="32" t="n">
        <f aca="false">SUMPRODUCT($C$86:$I$86,LEN(INDEX('Saisie programme'!$D$13:$J$477,276,0)))+SUMIFS('Vols additionnels'!$E$7:$E$66,'Vols additionnels'!$C$7:$C$66,"CDGRUN",'Vols additionnels'!$D$7:$D$66,"A320",'Vols additionnels'!$B$7:$B$66,"&gt;="&amp;$J$86,'Vols additionnels'!$B$7:$B$66,"&lt;="&amp;$K$86)</f>
        <v>10</v>
      </c>
      <c r="K96" s="32" t="n">
        <f aca="false">SUMPRODUCT($C$87:$I$87,LEN(INDEX('Saisie programme'!$D$13:$J$477,315,0)))+SUMIFS('Vols additionnels'!$E$7:$E$66,'Vols additionnels'!$C$7:$C$66,"CDGRUN",'Vols additionnels'!$D$7:$D$66,"A320",'Vols additionnels'!$B$7:$B$66,"&gt;="&amp;$J$87,'Vols additionnels'!$B$7:$B$66,"&lt;="&amp;$K$87)</f>
        <v>8</v>
      </c>
      <c r="L96" s="32" t="n">
        <f aca="false">SUMPRODUCT($C$88:$I$88,LEN(INDEX('Saisie programme'!$D$13:$J$477,354,0)))+SUMIFS('Vols additionnels'!$E$7:$E$66,'Vols additionnels'!$C$7:$C$66,"CDGRUN",'Vols additionnels'!$D$7:$D$66,"A320",'Vols additionnels'!$B$7:$B$66,"&gt;="&amp;$J$88,'Vols additionnels'!$B$7:$B$66,"&lt;="&amp;$K$88)</f>
        <v>10</v>
      </c>
      <c r="M96" s="32" t="n">
        <f aca="false">SUMPRODUCT($C$89:$I$89,LEN(INDEX('Saisie programme'!$D$13:$J$477,393,0)))+SUMIFS('Vols additionnels'!$E$7:$E$66,'Vols additionnels'!$C$7:$C$66,"CDGRUN",'Vols additionnels'!$D$7:$D$66,"A320",'Vols additionnels'!$B$7:$B$66,"&gt;="&amp;$J$89,'Vols additionnels'!$B$7:$B$66,"&lt;="&amp;$K$89)</f>
        <v>8</v>
      </c>
      <c r="N96" s="32" t="n">
        <f aca="false">SUMPRODUCT($C$90:$I$90,LEN(INDEX('Saisie programme'!$D$13:$J$477,432,0)))+SUMIFS('Vols additionnels'!$E$7:$E$66,'Vols additionnels'!$C$7:$C$66,"CDGRUN",'Vols additionnels'!$D$7:$D$66,"A320",'Vols additionnels'!$B$7:$B$66,"&gt;="&amp;$J$90,'Vols additionnels'!$B$7:$B$66,"&lt;="&amp;$K$90)</f>
        <v>8</v>
      </c>
      <c r="O96" s="12" t="s">
        <v>12</v>
      </c>
      <c r="P96" s="12" t="s">
        <v>24</v>
      </c>
    </row>
    <row r="97" customFormat="false" ht="15" hidden="false" customHeight="false" outlineLevel="0" collapsed="false">
      <c r="B97" s="10" t="s">
        <v>102</v>
      </c>
      <c r="C97" s="32" t="n">
        <f aca="false">SUMPRODUCT($C$79:$I$79,LEN(INDEX('Saisie programme'!$D$13:$J$477,4,0)))+SUMIFS('Vols additionnels'!$E$7:$E$66,'Vols additionnels'!$C$7:$C$66,"CDGDZA",'Vols additionnels'!$D$7:$D$66,"77W",'Vols additionnels'!$B$7:$B$66,"&gt;="&amp;$J$79,'Vols additionnels'!$B$7:$B$66,"&lt;="&amp;$K$79)</f>
        <v>4</v>
      </c>
      <c r="D97" s="32" t="n">
        <f aca="false">SUMPRODUCT($C$80:$I$80,LEN(INDEX('Saisie programme'!$D$13:$J$477,43,0)))+SUMIFS('Vols additionnels'!$E$7:$E$66,'Vols additionnels'!$C$7:$C$66,"CDGDZA",'Vols additionnels'!$D$7:$D$66,"77W",'Vols additionnels'!$B$7:$B$66,"&gt;="&amp;$J$80,'Vols additionnels'!$B$7:$B$66,"&lt;="&amp;$K$80)</f>
        <v>5</v>
      </c>
      <c r="E97" s="32" t="n">
        <f aca="false">SUMPRODUCT($C$81:$I$81,LEN(INDEX('Saisie programme'!$D$13:$J$477,82,0)))+SUMIFS('Vols additionnels'!$E$7:$E$66,'Vols additionnels'!$C$7:$C$66,"CDGDZA",'Vols additionnels'!$D$7:$D$66,"77W",'Vols additionnels'!$B$7:$B$66,"&gt;="&amp;$J$81,'Vols additionnels'!$B$7:$B$66,"&lt;="&amp;$K$81)</f>
        <v>4</v>
      </c>
      <c r="F97" s="32" t="n">
        <f aca="false">SUMPRODUCT($C$82:$I$82,LEN(INDEX('Saisie programme'!$D$13:$J$477,121,0)))+SUMIFS('Vols additionnels'!$E$7:$E$66,'Vols additionnels'!$C$7:$C$66,"CDGDZA",'Vols additionnels'!$D$7:$D$66,"77W",'Vols additionnels'!$B$7:$B$66,"&gt;="&amp;$J$82,'Vols additionnels'!$B$7:$B$66,"&lt;="&amp;$K$82)</f>
        <v>4</v>
      </c>
      <c r="G97" s="32" t="n">
        <f aca="false">SUMPRODUCT($C$83:$I$83,LEN(INDEX('Saisie programme'!$D$13:$J$477,160,0)))+SUMIFS('Vols additionnels'!$E$7:$E$66,'Vols additionnels'!$C$7:$C$66,"CDGDZA",'Vols additionnels'!$D$7:$D$66,"77W",'Vols additionnels'!$B$7:$B$66,"&gt;="&amp;$J$83,'Vols additionnels'!$B$7:$B$66,"&lt;="&amp;$K$83)</f>
        <v>5</v>
      </c>
      <c r="H97" s="32" t="n">
        <f aca="false">SUMPRODUCT($C$84:$I$84,LEN(INDEX('Saisie programme'!$D$13:$J$477,199,0)))+SUMIFS('Vols additionnels'!$E$7:$E$66,'Vols additionnels'!$C$7:$C$66,"CDGDZA",'Vols additionnels'!$D$7:$D$66,"77W",'Vols additionnels'!$B$7:$B$66,"&gt;="&amp;$J$84,'Vols additionnels'!$B$7:$B$66,"&lt;="&amp;$K$84)</f>
        <v>4</v>
      </c>
      <c r="I97" s="32" t="n">
        <f aca="false">SUMPRODUCT($C$85:$I$85,LEN(INDEX('Saisie programme'!$D$13:$J$477,238,0)))+SUMIFS('Vols additionnels'!$E$7:$E$66,'Vols additionnels'!$C$7:$C$66,"CDGDZA",'Vols additionnels'!$D$7:$D$66,"77W",'Vols additionnels'!$B$7:$B$66,"&gt;="&amp;$J$85,'Vols additionnels'!$B$7:$B$66,"&lt;="&amp;$K$85)</f>
        <v>5</v>
      </c>
      <c r="J97" s="32" t="n">
        <f aca="false">SUMPRODUCT($C$86:$I$86,LEN(INDEX('Saisie programme'!$D$13:$J$477,277,0)))+SUMIFS('Vols additionnels'!$E$7:$E$66,'Vols additionnels'!$C$7:$C$66,"CDGDZA",'Vols additionnels'!$D$7:$D$66,"77W",'Vols additionnels'!$B$7:$B$66,"&gt;="&amp;$J$86,'Vols additionnels'!$B$7:$B$66,"&lt;="&amp;$K$86)</f>
        <v>4</v>
      </c>
      <c r="K97" s="32" t="n">
        <f aca="false">SUMPRODUCT($C$87:$I$87,LEN(INDEX('Saisie programme'!$D$13:$J$477,316,0)))+SUMIFS('Vols additionnels'!$E$7:$E$66,'Vols additionnels'!$C$7:$C$66,"CDGDZA",'Vols additionnels'!$D$7:$D$66,"77W",'Vols additionnels'!$B$7:$B$66,"&gt;="&amp;$J$87,'Vols additionnels'!$B$7:$B$66,"&lt;="&amp;$K$87)</f>
        <v>4</v>
      </c>
      <c r="L97" s="32" t="n">
        <f aca="false">SUMPRODUCT($C$88:$I$88,LEN(INDEX('Saisie programme'!$D$13:$J$477,355,0)))+SUMIFS('Vols additionnels'!$E$7:$E$66,'Vols additionnels'!$C$7:$C$66,"CDGDZA",'Vols additionnels'!$D$7:$D$66,"77W",'Vols additionnels'!$B$7:$B$66,"&gt;="&amp;$J$88,'Vols additionnels'!$B$7:$B$66,"&lt;="&amp;$K$88)</f>
        <v>5</v>
      </c>
      <c r="M97" s="32" t="n">
        <f aca="false">SUMPRODUCT($C$89:$I$89,LEN(INDEX('Saisie programme'!$D$13:$J$477,394,0)))+SUMIFS('Vols additionnels'!$E$7:$E$66,'Vols additionnels'!$C$7:$C$66,"CDGDZA",'Vols additionnels'!$D$7:$D$66,"77W",'Vols additionnels'!$B$7:$B$66,"&gt;="&amp;$J$89,'Vols additionnels'!$B$7:$B$66,"&lt;="&amp;$K$89)</f>
        <v>4</v>
      </c>
      <c r="N97" s="32" t="n">
        <f aca="false">SUMPRODUCT($C$90:$I$90,LEN(INDEX('Saisie programme'!$D$13:$J$477,433,0)))+SUMIFS('Vols additionnels'!$E$7:$E$66,'Vols additionnels'!$C$7:$C$66,"CDGDZA",'Vols additionnels'!$D$7:$D$66,"77W",'Vols additionnels'!$B$7:$B$66,"&gt;="&amp;$J$90,'Vols additionnels'!$B$7:$B$66,"&lt;="&amp;$K$90)</f>
        <v>4</v>
      </c>
      <c r="O97" s="12" t="s">
        <v>20</v>
      </c>
      <c r="P97" s="12" t="s">
        <v>11</v>
      </c>
    </row>
    <row r="98" customFormat="false" ht="15" hidden="false" customHeight="false" outlineLevel="0" collapsed="false">
      <c r="B98" s="10" t="s">
        <v>103</v>
      </c>
      <c r="C98" s="32" t="n">
        <f aca="false">SUMPRODUCT($C$79:$I$79,LEN(INDEX('Saisie programme'!$D$13:$J$477,5,0)))+SUMIFS('Vols additionnels'!$E$7:$E$66,'Vols additionnels'!$C$7:$C$66,"CDGDZA",'Vols additionnels'!$D$7:$D$66,"787",'Vols additionnels'!$B$7:$B$66,"&gt;="&amp;$J$79,'Vols additionnels'!$B$7:$B$66,"&lt;="&amp;$K$79)</f>
        <v>9</v>
      </c>
      <c r="D98" s="32" t="n">
        <f aca="false">SUMPRODUCT($C$80:$I$80,LEN(INDEX('Saisie programme'!$D$13:$J$477,44,0)))+SUMIFS('Vols additionnels'!$E$7:$E$66,'Vols additionnels'!$C$7:$C$66,"CDGDZA",'Vols additionnels'!$D$7:$D$66,"787",'Vols additionnels'!$B$7:$B$66,"&gt;="&amp;$J$80,'Vols additionnels'!$B$7:$B$66,"&lt;="&amp;$K$80)</f>
        <v>8</v>
      </c>
      <c r="E98" s="32" t="n">
        <f aca="false">SUMPRODUCT($C$81:$I$81,LEN(INDEX('Saisie programme'!$D$13:$J$477,83,0)))+SUMIFS('Vols additionnels'!$E$7:$E$66,'Vols additionnels'!$C$7:$C$66,"CDGDZA",'Vols additionnels'!$D$7:$D$66,"787",'Vols additionnels'!$B$7:$B$66,"&gt;="&amp;$J$81,'Vols additionnels'!$B$7:$B$66,"&lt;="&amp;$K$81)</f>
        <v>9</v>
      </c>
      <c r="F98" s="32" t="n">
        <f aca="false">SUMPRODUCT($C$82:$I$82,LEN(INDEX('Saisie programme'!$D$13:$J$477,122,0)))+SUMIFS('Vols additionnels'!$E$7:$E$66,'Vols additionnels'!$C$7:$C$66,"CDGDZA",'Vols additionnels'!$D$7:$D$66,"787",'Vols additionnels'!$B$7:$B$66,"&gt;="&amp;$J$82,'Vols additionnels'!$B$7:$B$66,"&lt;="&amp;$K$82)</f>
        <v>9</v>
      </c>
      <c r="G98" s="32" t="n">
        <f aca="false">SUMPRODUCT($C$83:$I$83,LEN(INDEX('Saisie programme'!$D$13:$J$477,161,0)))+SUMIFS('Vols additionnels'!$E$7:$E$66,'Vols additionnels'!$C$7:$C$66,"CDGDZA",'Vols additionnels'!$D$7:$D$66,"787",'Vols additionnels'!$B$7:$B$66,"&gt;="&amp;$J$83,'Vols additionnels'!$B$7:$B$66,"&lt;="&amp;$K$83)</f>
        <v>9</v>
      </c>
      <c r="H98" s="32" t="n">
        <f aca="false">SUMPRODUCT($C$84:$I$84,LEN(INDEX('Saisie programme'!$D$13:$J$477,200,0)))+SUMIFS('Vols additionnels'!$E$7:$E$66,'Vols additionnels'!$C$7:$C$66,"CDGDZA",'Vols additionnels'!$D$7:$D$66,"787",'Vols additionnels'!$B$7:$B$66,"&gt;="&amp;$J$84,'Vols additionnels'!$B$7:$B$66,"&lt;="&amp;$K$84)</f>
        <v>8</v>
      </c>
      <c r="I98" s="32" t="n">
        <f aca="false">SUMPRODUCT($C$85:$I$85,LEN(INDEX('Saisie programme'!$D$13:$J$477,239,0)))+SUMIFS('Vols additionnels'!$E$7:$E$66,'Vols additionnels'!$C$7:$C$66,"CDGDZA",'Vols additionnels'!$D$7:$D$66,"787",'Vols additionnels'!$B$7:$B$66,"&gt;="&amp;$J$85,'Vols additionnels'!$B$7:$B$66,"&lt;="&amp;$K$85)</f>
        <v>9</v>
      </c>
      <c r="J98" s="32" t="n">
        <f aca="false">SUMPRODUCT($C$86:$I$86,LEN(INDEX('Saisie programme'!$D$13:$J$477,278,0)))+SUMIFS('Vols additionnels'!$E$7:$E$66,'Vols additionnels'!$C$7:$C$66,"CDGDZA",'Vols additionnels'!$D$7:$D$66,"787",'Vols additionnels'!$B$7:$B$66,"&gt;="&amp;$J$86,'Vols additionnels'!$B$7:$B$66,"&lt;="&amp;$K$86)</f>
        <v>9</v>
      </c>
      <c r="K98" s="32" t="n">
        <f aca="false">SUMPRODUCT($C$87:$I$87,LEN(INDEX('Saisie programme'!$D$13:$J$477,317,0)))+SUMIFS('Vols additionnels'!$E$7:$E$66,'Vols additionnels'!$C$7:$C$66,"CDGDZA",'Vols additionnels'!$D$7:$D$66,"787",'Vols additionnels'!$B$7:$B$66,"&gt;="&amp;$J$87,'Vols additionnels'!$B$7:$B$66,"&lt;="&amp;$K$87)</f>
        <v>9</v>
      </c>
      <c r="L98" s="32" t="n">
        <f aca="false">SUMPRODUCT($C$88:$I$88,LEN(INDEX('Saisie programme'!$D$13:$J$477,356,0)))+SUMIFS('Vols additionnels'!$E$7:$E$66,'Vols additionnels'!$C$7:$C$66,"CDGDZA",'Vols additionnels'!$D$7:$D$66,"787",'Vols additionnels'!$B$7:$B$66,"&gt;="&amp;$J$88,'Vols additionnels'!$B$7:$B$66,"&lt;="&amp;$K$88)</f>
        <v>8</v>
      </c>
      <c r="M98" s="32" t="n">
        <f aca="false">SUMPRODUCT($C$89:$I$89,LEN(INDEX('Saisie programme'!$D$13:$J$477,395,0)))+SUMIFS('Vols additionnels'!$E$7:$E$66,'Vols additionnels'!$C$7:$C$66,"CDGDZA",'Vols additionnels'!$D$7:$D$66,"787",'Vols additionnels'!$B$7:$B$66,"&gt;="&amp;$J$89,'Vols additionnels'!$B$7:$B$66,"&lt;="&amp;$K$89)</f>
        <v>9</v>
      </c>
      <c r="N98" s="32" t="n">
        <f aca="false">SUMPRODUCT($C$90:$I$90,LEN(INDEX('Saisie programme'!$D$13:$J$477,434,0)))+SUMIFS('Vols additionnels'!$E$7:$E$66,'Vols additionnels'!$C$7:$C$66,"CDGDZA",'Vols additionnels'!$D$7:$D$66,"787",'Vols additionnels'!$B$7:$B$66,"&gt;="&amp;$J$90,'Vols additionnels'!$B$7:$B$66,"&lt;="&amp;$K$90)</f>
        <v>9</v>
      </c>
      <c r="O98" s="12" t="s">
        <v>20</v>
      </c>
      <c r="P98" s="12" t="s">
        <v>19</v>
      </c>
    </row>
    <row r="99" customFormat="false" ht="15" hidden="false" customHeight="false" outlineLevel="0" collapsed="false">
      <c r="B99" s="10" t="s">
        <v>104</v>
      </c>
      <c r="C99" s="32" t="n">
        <f aca="false">SUMPRODUCT($C$79:$I$79,LEN(INDEX('Saisie programme'!$D$13:$J$477,6,0)))+SUMIFS('Vols additionnels'!$E$7:$E$66,'Vols additionnels'!$C$7:$C$66,"CDGDZA",'Vols additionnels'!$D$7:$D$66,"A320",'Vols additionnels'!$B$7:$B$66,"&gt;="&amp;$J$79,'Vols additionnels'!$B$7:$B$66,"&lt;="&amp;$K$79)</f>
        <v>0</v>
      </c>
      <c r="D99" s="32" t="n">
        <f aca="false">SUMPRODUCT($C$80:$I$80,LEN(INDEX('Saisie programme'!$D$13:$J$477,45,0)))+SUMIFS('Vols additionnels'!$E$7:$E$66,'Vols additionnels'!$C$7:$C$66,"CDGDZA",'Vols additionnels'!$D$7:$D$66,"A320",'Vols additionnels'!$B$7:$B$66,"&gt;="&amp;$J$80,'Vols additionnels'!$B$7:$B$66,"&lt;="&amp;$K$80)</f>
        <v>0</v>
      </c>
      <c r="E99" s="32" t="n">
        <f aca="false">SUMPRODUCT($C$81:$I$81,LEN(INDEX('Saisie programme'!$D$13:$J$477,84,0)))+SUMIFS('Vols additionnels'!$E$7:$E$66,'Vols additionnels'!$C$7:$C$66,"CDGDZA",'Vols additionnels'!$D$7:$D$66,"A320",'Vols additionnels'!$B$7:$B$66,"&gt;="&amp;$J$81,'Vols additionnels'!$B$7:$B$66,"&lt;="&amp;$K$81)</f>
        <v>0</v>
      </c>
      <c r="F99" s="32" t="n">
        <f aca="false">SUMPRODUCT($C$82:$I$82,LEN(INDEX('Saisie programme'!$D$13:$J$477,123,0)))+SUMIFS('Vols additionnels'!$E$7:$E$66,'Vols additionnels'!$C$7:$C$66,"CDGDZA",'Vols additionnels'!$D$7:$D$66,"A320",'Vols additionnels'!$B$7:$B$66,"&gt;="&amp;$J$82,'Vols additionnels'!$B$7:$B$66,"&lt;="&amp;$K$82)</f>
        <v>0</v>
      </c>
      <c r="G99" s="32" t="n">
        <f aca="false">SUMPRODUCT($C$83:$I$83,LEN(INDEX('Saisie programme'!$D$13:$J$477,162,0)))+SUMIFS('Vols additionnels'!$E$7:$E$66,'Vols additionnels'!$C$7:$C$66,"CDGDZA",'Vols additionnels'!$D$7:$D$66,"A320",'Vols additionnels'!$B$7:$B$66,"&gt;="&amp;$J$83,'Vols additionnels'!$B$7:$B$66,"&lt;="&amp;$K$83)</f>
        <v>0</v>
      </c>
      <c r="H99" s="32" t="n">
        <f aca="false">SUMPRODUCT($C$84:$I$84,LEN(INDEX('Saisie programme'!$D$13:$J$477,201,0)))+SUMIFS('Vols additionnels'!$E$7:$E$66,'Vols additionnels'!$C$7:$C$66,"CDGDZA",'Vols additionnels'!$D$7:$D$66,"A320",'Vols additionnels'!$B$7:$B$66,"&gt;="&amp;$J$84,'Vols additionnels'!$B$7:$B$66,"&lt;="&amp;$K$84)</f>
        <v>0</v>
      </c>
      <c r="I99" s="32" t="n">
        <f aca="false">SUMPRODUCT($C$85:$I$85,LEN(INDEX('Saisie programme'!$D$13:$J$477,240,0)))+SUMIFS('Vols additionnels'!$E$7:$E$66,'Vols additionnels'!$C$7:$C$66,"CDGDZA",'Vols additionnels'!$D$7:$D$66,"A320",'Vols additionnels'!$B$7:$B$66,"&gt;="&amp;$J$85,'Vols additionnels'!$B$7:$B$66,"&lt;="&amp;$K$85)</f>
        <v>0</v>
      </c>
      <c r="J99" s="32" t="n">
        <f aca="false">SUMPRODUCT($C$86:$I$86,LEN(INDEX('Saisie programme'!$D$13:$J$477,279,0)))+SUMIFS('Vols additionnels'!$E$7:$E$66,'Vols additionnels'!$C$7:$C$66,"CDGDZA",'Vols additionnels'!$D$7:$D$66,"A320",'Vols additionnels'!$B$7:$B$66,"&gt;="&amp;$J$86,'Vols additionnels'!$B$7:$B$66,"&lt;="&amp;$K$86)</f>
        <v>0</v>
      </c>
      <c r="K99" s="32" t="n">
        <f aca="false">SUMPRODUCT($C$87:$I$87,LEN(INDEX('Saisie programme'!$D$13:$J$477,318,0)))+SUMIFS('Vols additionnels'!$E$7:$E$66,'Vols additionnels'!$C$7:$C$66,"CDGDZA",'Vols additionnels'!$D$7:$D$66,"A320",'Vols additionnels'!$B$7:$B$66,"&gt;="&amp;$J$87,'Vols additionnels'!$B$7:$B$66,"&lt;="&amp;$K$87)</f>
        <v>0</v>
      </c>
      <c r="L99" s="32" t="n">
        <f aca="false">SUMPRODUCT($C$88:$I$88,LEN(INDEX('Saisie programme'!$D$13:$J$477,357,0)))+SUMIFS('Vols additionnels'!$E$7:$E$66,'Vols additionnels'!$C$7:$C$66,"CDGDZA",'Vols additionnels'!$D$7:$D$66,"A320",'Vols additionnels'!$B$7:$B$66,"&gt;="&amp;$J$88,'Vols additionnels'!$B$7:$B$66,"&lt;="&amp;$K$88)</f>
        <v>0</v>
      </c>
      <c r="M99" s="32" t="n">
        <f aca="false">SUMPRODUCT($C$89:$I$89,LEN(INDEX('Saisie programme'!$D$13:$J$477,396,0)))+SUMIFS('Vols additionnels'!$E$7:$E$66,'Vols additionnels'!$C$7:$C$66,"CDGDZA",'Vols additionnels'!$D$7:$D$66,"A320",'Vols additionnels'!$B$7:$B$66,"&gt;="&amp;$J$89,'Vols additionnels'!$B$7:$B$66,"&lt;="&amp;$K$89)</f>
        <v>0</v>
      </c>
      <c r="N99" s="32" t="n">
        <f aca="false">SUMPRODUCT($C$90:$I$90,LEN(INDEX('Saisie programme'!$D$13:$J$477,435,0)))+SUMIFS('Vols additionnels'!$E$7:$E$66,'Vols additionnels'!$C$7:$C$66,"CDGDZA",'Vols additionnels'!$D$7:$D$66,"A320",'Vols additionnels'!$B$7:$B$66,"&gt;="&amp;$J$90,'Vols additionnels'!$B$7:$B$66,"&lt;="&amp;$K$90)</f>
        <v>0</v>
      </c>
      <c r="O99" s="12" t="s">
        <v>20</v>
      </c>
      <c r="P99" s="12" t="s">
        <v>24</v>
      </c>
    </row>
    <row r="100" customFormat="false" ht="15" hidden="false" customHeight="false" outlineLevel="0" collapsed="false">
      <c r="B100" s="10" t="s">
        <v>106</v>
      </c>
      <c r="C100" s="32" t="n">
        <f aca="false">SUMPRODUCT($C$79:$I$79,LEN(INDEX('Saisie programme'!$D$13:$J$477,7,0)))+SUMIFS('Vols additionnels'!$E$7:$E$66,'Vols additionnels'!$C$7:$C$66,"BKKRUN",'Vols additionnels'!$D$7:$D$66,"77W",'Vols additionnels'!$B$7:$B$66,"&gt;="&amp;$J$79,'Vols additionnels'!$B$7:$B$66,"&lt;="&amp;$K$79)</f>
        <v>0</v>
      </c>
      <c r="D100" s="32" t="n">
        <f aca="false">SUMPRODUCT($C$80:$I$80,LEN(INDEX('Saisie programme'!$D$13:$J$477,46,0)))+SUMIFS('Vols additionnels'!$E$7:$E$66,'Vols additionnels'!$C$7:$C$66,"BKKRUN",'Vols additionnels'!$D$7:$D$66,"77W",'Vols additionnels'!$B$7:$B$66,"&gt;="&amp;$J$80,'Vols additionnels'!$B$7:$B$66,"&lt;="&amp;$K$80)</f>
        <v>0</v>
      </c>
      <c r="E100" s="32" t="n">
        <f aca="false">SUMPRODUCT($C$81:$I$81,LEN(INDEX('Saisie programme'!$D$13:$J$477,85,0)))+SUMIFS('Vols additionnels'!$E$7:$E$66,'Vols additionnels'!$C$7:$C$66,"BKKRUN",'Vols additionnels'!$D$7:$D$66,"77W",'Vols additionnels'!$B$7:$B$66,"&gt;="&amp;$J$81,'Vols additionnels'!$B$7:$B$66,"&lt;="&amp;$K$81)</f>
        <v>0</v>
      </c>
      <c r="F100" s="32" t="n">
        <f aca="false">SUMPRODUCT($C$82:$I$82,LEN(INDEX('Saisie programme'!$D$13:$J$477,124,0)))+SUMIFS('Vols additionnels'!$E$7:$E$66,'Vols additionnels'!$C$7:$C$66,"BKKRUN",'Vols additionnels'!$D$7:$D$66,"77W",'Vols additionnels'!$B$7:$B$66,"&gt;="&amp;$J$82,'Vols additionnels'!$B$7:$B$66,"&lt;="&amp;$K$82)</f>
        <v>0</v>
      </c>
      <c r="G100" s="32" t="n">
        <f aca="false">SUMPRODUCT($C$83:$I$83,LEN(INDEX('Saisie programme'!$D$13:$J$477,163,0)))+SUMIFS('Vols additionnels'!$E$7:$E$66,'Vols additionnels'!$C$7:$C$66,"BKKRUN",'Vols additionnels'!$D$7:$D$66,"77W",'Vols additionnels'!$B$7:$B$66,"&gt;="&amp;$J$83,'Vols additionnels'!$B$7:$B$66,"&lt;="&amp;$K$83)</f>
        <v>0</v>
      </c>
      <c r="H100" s="32" t="n">
        <f aca="false">SUMPRODUCT($C$84:$I$84,LEN(INDEX('Saisie programme'!$D$13:$J$477,202,0)))+SUMIFS('Vols additionnels'!$E$7:$E$66,'Vols additionnels'!$C$7:$C$66,"BKKRUN",'Vols additionnels'!$D$7:$D$66,"77W",'Vols additionnels'!$B$7:$B$66,"&gt;="&amp;$J$84,'Vols additionnels'!$B$7:$B$66,"&lt;="&amp;$K$84)</f>
        <v>0</v>
      </c>
      <c r="I100" s="32" t="n">
        <f aca="false">SUMPRODUCT($C$85:$I$85,LEN(INDEX('Saisie programme'!$D$13:$J$477,241,0)))+SUMIFS('Vols additionnels'!$E$7:$E$66,'Vols additionnels'!$C$7:$C$66,"BKKRUN",'Vols additionnels'!$D$7:$D$66,"77W",'Vols additionnels'!$B$7:$B$66,"&gt;="&amp;$J$85,'Vols additionnels'!$B$7:$B$66,"&lt;="&amp;$K$85)</f>
        <v>0</v>
      </c>
      <c r="J100" s="32" t="n">
        <f aca="false">SUMPRODUCT($C$86:$I$86,LEN(INDEX('Saisie programme'!$D$13:$J$477,280,0)))+SUMIFS('Vols additionnels'!$E$7:$E$66,'Vols additionnels'!$C$7:$C$66,"BKKRUN",'Vols additionnels'!$D$7:$D$66,"77W",'Vols additionnels'!$B$7:$B$66,"&gt;="&amp;$J$86,'Vols additionnels'!$B$7:$B$66,"&lt;="&amp;$K$86)</f>
        <v>0</v>
      </c>
      <c r="K100" s="32" t="n">
        <f aca="false">SUMPRODUCT($C$87:$I$87,LEN(INDEX('Saisie programme'!$D$13:$J$477,319,0)))+SUMIFS('Vols additionnels'!$E$7:$E$66,'Vols additionnels'!$C$7:$C$66,"BKKRUN",'Vols additionnels'!$D$7:$D$66,"77W",'Vols additionnels'!$B$7:$B$66,"&gt;="&amp;$J$87,'Vols additionnels'!$B$7:$B$66,"&lt;="&amp;$K$87)</f>
        <v>0</v>
      </c>
      <c r="L100" s="32" t="n">
        <f aca="false">SUMPRODUCT($C$88:$I$88,LEN(INDEX('Saisie programme'!$D$13:$J$477,358,0)))+SUMIFS('Vols additionnels'!$E$7:$E$66,'Vols additionnels'!$C$7:$C$66,"BKKRUN",'Vols additionnels'!$D$7:$D$66,"77W",'Vols additionnels'!$B$7:$B$66,"&gt;="&amp;$J$88,'Vols additionnels'!$B$7:$B$66,"&lt;="&amp;$K$88)</f>
        <v>0</v>
      </c>
      <c r="M100" s="32" t="n">
        <f aca="false">SUMPRODUCT($C$89:$I$89,LEN(INDEX('Saisie programme'!$D$13:$J$477,397,0)))+SUMIFS('Vols additionnels'!$E$7:$E$66,'Vols additionnels'!$C$7:$C$66,"BKKRUN",'Vols additionnels'!$D$7:$D$66,"77W",'Vols additionnels'!$B$7:$B$66,"&gt;="&amp;$J$89,'Vols additionnels'!$B$7:$B$66,"&lt;="&amp;$K$89)</f>
        <v>0</v>
      </c>
      <c r="N100" s="32" t="n">
        <f aca="false">SUMPRODUCT($C$90:$I$90,LEN(INDEX('Saisie programme'!$D$13:$J$477,436,0)))+SUMIFS('Vols additionnels'!$E$7:$E$66,'Vols additionnels'!$C$7:$C$66,"BKKRUN",'Vols additionnels'!$D$7:$D$66,"77W",'Vols additionnels'!$B$7:$B$66,"&gt;="&amp;$J$90,'Vols additionnels'!$B$7:$B$66,"&lt;="&amp;$K$90)</f>
        <v>0</v>
      </c>
      <c r="O100" s="12" t="s">
        <v>25</v>
      </c>
      <c r="P100" s="12" t="s">
        <v>11</v>
      </c>
    </row>
    <row r="101" customFormat="false" ht="15" hidden="false" customHeight="false" outlineLevel="0" collapsed="false">
      <c r="B101" s="10" t="s">
        <v>108</v>
      </c>
      <c r="C101" s="32" t="n">
        <f aca="false">SUMPRODUCT($C$79:$I$79,LEN(INDEX('Saisie programme'!$D$13:$J$477,8,0)))+SUMIFS('Vols additionnels'!$E$7:$E$66,'Vols additionnels'!$C$7:$C$66,"BKKRUN",'Vols additionnels'!$D$7:$D$66,"787",'Vols additionnels'!$B$7:$B$66,"&gt;="&amp;$J$79,'Vols additionnels'!$B$7:$B$66,"&lt;="&amp;$K$79)</f>
        <v>8</v>
      </c>
      <c r="D101" s="32" t="n">
        <f aca="false">SUMPRODUCT($C$80:$I$80,LEN(INDEX('Saisie programme'!$D$13:$J$477,47,0)))+SUMIFS('Vols additionnels'!$E$7:$E$66,'Vols additionnels'!$C$7:$C$66,"BKKRUN",'Vols additionnels'!$D$7:$D$66,"787",'Vols additionnels'!$B$7:$B$66,"&gt;="&amp;$J$80,'Vols additionnels'!$B$7:$B$66,"&lt;="&amp;$K$80)</f>
        <v>9</v>
      </c>
      <c r="E101" s="32" t="n">
        <f aca="false">SUMPRODUCT($C$81:$I$81,LEN(INDEX('Saisie programme'!$D$13:$J$477,86,0)))+SUMIFS('Vols additionnels'!$E$7:$E$66,'Vols additionnels'!$C$7:$C$66,"BKKRUN",'Vols additionnels'!$D$7:$D$66,"787",'Vols additionnels'!$B$7:$B$66,"&gt;="&amp;$J$81,'Vols additionnels'!$B$7:$B$66,"&lt;="&amp;$K$81)</f>
        <v>9</v>
      </c>
      <c r="F101" s="32" t="n">
        <f aca="false">SUMPRODUCT($C$82:$I$82,LEN(INDEX('Saisie programme'!$D$13:$J$477,125,0)))+SUMIFS('Vols additionnels'!$E$7:$E$66,'Vols additionnels'!$C$7:$C$66,"BKKRUN",'Vols additionnels'!$D$7:$D$66,"787",'Vols additionnels'!$B$7:$B$66,"&gt;="&amp;$J$82,'Vols additionnels'!$B$7:$B$66,"&lt;="&amp;$K$82)</f>
        <v>9</v>
      </c>
      <c r="G101" s="32" t="n">
        <f aca="false">SUMPRODUCT($C$83:$I$83,LEN(INDEX('Saisie programme'!$D$13:$J$477,164,0)))+SUMIFS('Vols additionnels'!$E$7:$E$66,'Vols additionnels'!$C$7:$C$66,"BKKRUN",'Vols additionnels'!$D$7:$D$66,"787",'Vols additionnels'!$B$7:$B$66,"&gt;="&amp;$J$83,'Vols additionnels'!$B$7:$B$66,"&lt;="&amp;$K$83)</f>
        <v>8</v>
      </c>
      <c r="H101" s="32" t="n">
        <f aca="false">SUMPRODUCT($C$84:$I$84,LEN(INDEX('Saisie programme'!$D$13:$J$477,203,0)))+SUMIFS('Vols additionnels'!$E$7:$E$66,'Vols additionnels'!$C$7:$C$66,"BKKRUN",'Vols additionnels'!$D$7:$D$66,"787",'Vols additionnels'!$B$7:$B$66,"&gt;="&amp;$J$84,'Vols additionnels'!$B$7:$B$66,"&lt;="&amp;$K$84)</f>
        <v>9</v>
      </c>
      <c r="I101" s="32" t="n">
        <f aca="false">SUMPRODUCT($C$85:$I$85,LEN(INDEX('Saisie programme'!$D$13:$J$477,242,0)))+SUMIFS('Vols additionnels'!$E$7:$E$66,'Vols additionnels'!$C$7:$C$66,"BKKRUN",'Vols additionnels'!$D$7:$D$66,"787",'Vols additionnels'!$B$7:$B$66,"&gt;="&amp;$J$85,'Vols additionnels'!$B$7:$B$66,"&lt;="&amp;$K$85)</f>
        <v>9</v>
      </c>
      <c r="J101" s="32" t="n">
        <f aca="false">SUMPRODUCT($C$86:$I$86,LEN(INDEX('Saisie programme'!$D$13:$J$477,281,0)))+SUMIFS('Vols additionnels'!$E$7:$E$66,'Vols additionnels'!$C$7:$C$66,"BKKRUN",'Vols additionnels'!$D$7:$D$66,"787",'Vols additionnels'!$B$7:$B$66,"&gt;="&amp;$J$86,'Vols additionnels'!$B$7:$B$66,"&lt;="&amp;$K$86)</f>
        <v>8</v>
      </c>
      <c r="K101" s="32" t="n">
        <f aca="false">SUMPRODUCT($C$87:$I$87,LEN(INDEX('Saisie programme'!$D$13:$J$477,320,0)))+SUMIFS('Vols additionnels'!$E$7:$E$66,'Vols additionnels'!$C$7:$C$66,"BKKRUN",'Vols additionnels'!$D$7:$D$66,"787",'Vols additionnels'!$B$7:$B$66,"&gt;="&amp;$J$87,'Vols additionnels'!$B$7:$B$66,"&lt;="&amp;$K$87)</f>
        <v>9</v>
      </c>
      <c r="L101" s="32" t="n">
        <f aca="false">SUMPRODUCT($C$88:$I$88,LEN(INDEX('Saisie programme'!$D$13:$J$477,359,0)))+SUMIFS('Vols additionnels'!$E$7:$E$66,'Vols additionnels'!$C$7:$C$66,"BKKRUN",'Vols additionnels'!$D$7:$D$66,"787",'Vols additionnels'!$B$7:$B$66,"&gt;="&amp;$J$88,'Vols additionnels'!$B$7:$B$66,"&lt;="&amp;$K$88)</f>
        <v>9</v>
      </c>
      <c r="M101" s="32" t="n">
        <f aca="false">SUMPRODUCT($C$89:$I$89,LEN(INDEX('Saisie programme'!$D$13:$J$477,398,0)))+SUMIFS('Vols additionnels'!$E$7:$E$66,'Vols additionnels'!$C$7:$C$66,"BKKRUN",'Vols additionnels'!$D$7:$D$66,"787",'Vols additionnels'!$B$7:$B$66,"&gt;="&amp;$J$89,'Vols additionnels'!$B$7:$B$66,"&lt;="&amp;$K$89)</f>
        <v>8</v>
      </c>
      <c r="N101" s="32" t="n">
        <f aca="false">SUMPRODUCT($C$90:$I$90,LEN(INDEX('Saisie programme'!$D$13:$J$477,437,0)))+SUMIFS('Vols additionnels'!$E$7:$E$66,'Vols additionnels'!$C$7:$C$66,"BKKRUN",'Vols additionnels'!$D$7:$D$66,"787",'Vols additionnels'!$B$7:$B$66,"&gt;="&amp;$J$90,'Vols additionnels'!$B$7:$B$66,"&lt;="&amp;$K$90)</f>
        <v>9</v>
      </c>
      <c r="O101" s="12" t="s">
        <v>25</v>
      </c>
      <c r="P101" s="12" t="s">
        <v>19</v>
      </c>
    </row>
    <row r="102" customFormat="false" ht="15" hidden="false" customHeight="false" outlineLevel="0" collapsed="false">
      <c r="B102" s="10" t="s">
        <v>109</v>
      </c>
      <c r="C102" s="32" t="n">
        <f aca="false">SUMPRODUCT($C$79:$I$79,LEN(INDEX('Saisie programme'!$D$13:$J$477,9,0)))+SUMIFS('Vols additionnels'!$E$7:$E$66,'Vols additionnels'!$C$7:$C$66,"BKKRUN",'Vols additionnels'!$D$7:$D$66,"A320",'Vols additionnels'!$B$7:$B$66,"&gt;="&amp;$J$79,'Vols additionnels'!$B$7:$B$66,"&lt;="&amp;$K$79)</f>
        <v>0</v>
      </c>
      <c r="D102" s="32" t="n">
        <f aca="false">SUMPRODUCT($C$80:$I$80,LEN(INDEX('Saisie programme'!$D$13:$J$477,48,0)))+SUMIFS('Vols additionnels'!$E$7:$E$66,'Vols additionnels'!$C$7:$C$66,"BKKRUN",'Vols additionnels'!$D$7:$D$66,"A320",'Vols additionnels'!$B$7:$B$66,"&gt;="&amp;$J$80,'Vols additionnels'!$B$7:$B$66,"&lt;="&amp;$K$80)</f>
        <v>0</v>
      </c>
      <c r="E102" s="32" t="n">
        <f aca="false">SUMPRODUCT($C$81:$I$81,LEN(INDEX('Saisie programme'!$D$13:$J$477,87,0)))+SUMIFS('Vols additionnels'!$E$7:$E$66,'Vols additionnels'!$C$7:$C$66,"BKKRUN",'Vols additionnels'!$D$7:$D$66,"A320",'Vols additionnels'!$B$7:$B$66,"&gt;="&amp;$J$81,'Vols additionnels'!$B$7:$B$66,"&lt;="&amp;$K$81)</f>
        <v>0</v>
      </c>
      <c r="F102" s="32" t="n">
        <f aca="false">SUMPRODUCT($C$82:$I$82,LEN(INDEX('Saisie programme'!$D$13:$J$477,126,0)))+SUMIFS('Vols additionnels'!$E$7:$E$66,'Vols additionnels'!$C$7:$C$66,"BKKRUN",'Vols additionnels'!$D$7:$D$66,"A320",'Vols additionnels'!$B$7:$B$66,"&gt;="&amp;$J$82,'Vols additionnels'!$B$7:$B$66,"&lt;="&amp;$K$82)</f>
        <v>0</v>
      </c>
      <c r="G102" s="32" t="n">
        <f aca="false">SUMPRODUCT($C$83:$I$83,LEN(INDEX('Saisie programme'!$D$13:$J$477,165,0)))+SUMIFS('Vols additionnels'!$E$7:$E$66,'Vols additionnels'!$C$7:$C$66,"BKKRUN",'Vols additionnels'!$D$7:$D$66,"A320",'Vols additionnels'!$B$7:$B$66,"&gt;="&amp;$J$83,'Vols additionnels'!$B$7:$B$66,"&lt;="&amp;$K$83)</f>
        <v>0</v>
      </c>
      <c r="H102" s="32" t="n">
        <f aca="false">SUMPRODUCT($C$84:$I$84,LEN(INDEX('Saisie programme'!$D$13:$J$477,204,0)))+SUMIFS('Vols additionnels'!$E$7:$E$66,'Vols additionnels'!$C$7:$C$66,"BKKRUN",'Vols additionnels'!$D$7:$D$66,"A320",'Vols additionnels'!$B$7:$B$66,"&gt;="&amp;$J$84,'Vols additionnels'!$B$7:$B$66,"&lt;="&amp;$K$84)</f>
        <v>0</v>
      </c>
      <c r="I102" s="32" t="n">
        <f aca="false">SUMPRODUCT($C$85:$I$85,LEN(INDEX('Saisie programme'!$D$13:$J$477,243,0)))+SUMIFS('Vols additionnels'!$E$7:$E$66,'Vols additionnels'!$C$7:$C$66,"BKKRUN",'Vols additionnels'!$D$7:$D$66,"A320",'Vols additionnels'!$B$7:$B$66,"&gt;="&amp;$J$85,'Vols additionnels'!$B$7:$B$66,"&lt;="&amp;$K$85)</f>
        <v>0</v>
      </c>
      <c r="J102" s="32" t="n">
        <f aca="false">SUMPRODUCT($C$86:$I$86,LEN(INDEX('Saisie programme'!$D$13:$J$477,282,0)))+SUMIFS('Vols additionnels'!$E$7:$E$66,'Vols additionnels'!$C$7:$C$66,"BKKRUN",'Vols additionnels'!$D$7:$D$66,"A320",'Vols additionnels'!$B$7:$B$66,"&gt;="&amp;$J$86,'Vols additionnels'!$B$7:$B$66,"&lt;="&amp;$K$86)</f>
        <v>0</v>
      </c>
      <c r="K102" s="32" t="n">
        <f aca="false">SUMPRODUCT($C$87:$I$87,LEN(INDEX('Saisie programme'!$D$13:$J$477,321,0)))+SUMIFS('Vols additionnels'!$E$7:$E$66,'Vols additionnels'!$C$7:$C$66,"BKKRUN",'Vols additionnels'!$D$7:$D$66,"A320",'Vols additionnels'!$B$7:$B$66,"&gt;="&amp;$J$87,'Vols additionnels'!$B$7:$B$66,"&lt;="&amp;$K$87)</f>
        <v>0</v>
      </c>
      <c r="L102" s="32" t="n">
        <f aca="false">SUMPRODUCT($C$88:$I$88,LEN(INDEX('Saisie programme'!$D$13:$J$477,360,0)))+SUMIFS('Vols additionnels'!$E$7:$E$66,'Vols additionnels'!$C$7:$C$66,"BKKRUN",'Vols additionnels'!$D$7:$D$66,"A320",'Vols additionnels'!$B$7:$B$66,"&gt;="&amp;$J$88,'Vols additionnels'!$B$7:$B$66,"&lt;="&amp;$K$88)</f>
        <v>0</v>
      </c>
      <c r="M102" s="32" t="n">
        <f aca="false">SUMPRODUCT($C$89:$I$89,LEN(INDEX('Saisie programme'!$D$13:$J$477,399,0)))+SUMIFS('Vols additionnels'!$E$7:$E$66,'Vols additionnels'!$C$7:$C$66,"BKKRUN",'Vols additionnels'!$D$7:$D$66,"A320",'Vols additionnels'!$B$7:$B$66,"&gt;="&amp;$J$89,'Vols additionnels'!$B$7:$B$66,"&lt;="&amp;$K$89)</f>
        <v>0</v>
      </c>
      <c r="N102" s="32" t="n">
        <f aca="false">SUMPRODUCT($C$90:$I$90,LEN(INDEX('Saisie programme'!$D$13:$J$477,438,0)))+SUMIFS('Vols additionnels'!$E$7:$E$66,'Vols additionnels'!$C$7:$C$66,"BKKRUN",'Vols additionnels'!$D$7:$D$66,"A320",'Vols additionnels'!$B$7:$B$66,"&gt;="&amp;$J$90,'Vols additionnels'!$B$7:$B$66,"&lt;="&amp;$K$90)</f>
        <v>0</v>
      </c>
      <c r="O102" s="12" t="s">
        <v>25</v>
      </c>
      <c r="P102" s="12" t="s">
        <v>24</v>
      </c>
    </row>
    <row r="103" customFormat="false" ht="15" hidden="false" customHeight="false" outlineLevel="0" collapsed="false">
      <c r="B103" s="10" t="s">
        <v>110</v>
      </c>
      <c r="C103" s="32" t="n">
        <f aca="false">SUMPRODUCT($C$79:$I$79,LEN(INDEX('Saisie programme'!$D$13:$J$477,10,0)))+SUMIFS('Vols additionnels'!$E$7:$E$66,'Vols additionnels'!$C$7:$C$66,"DZARUN",'Vols additionnels'!$D$7:$D$66,"77W",'Vols additionnels'!$B$7:$B$66,"&gt;="&amp;$J$79,'Vols additionnels'!$B$7:$B$66,"&lt;="&amp;$K$79)</f>
        <v>0</v>
      </c>
      <c r="D103" s="32" t="n">
        <f aca="false">SUMPRODUCT($C$80:$I$80,LEN(INDEX('Saisie programme'!$D$13:$J$477,49,0)))+SUMIFS('Vols additionnels'!$E$7:$E$66,'Vols additionnels'!$C$7:$C$66,"DZARUN",'Vols additionnels'!$D$7:$D$66,"77W",'Vols additionnels'!$B$7:$B$66,"&gt;="&amp;$J$80,'Vols additionnels'!$B$7:$B$66,"&lt;="&amp;$K$80)</f>
        <v>0</v>
      </c>
      <c r="E103" s="32" t="n">
        <f aca="false">SUMPRODUCT($C$81:$I$81,LEN(INDEX('Saisie programme'!$D$13:$J$477,88,0)))+SUMIFS('Vols additionnels'!$E$7:$E$66,'Vols additionnels'!$C$7:$C$66,"DZARUN",'Vols additionnels'!$D$7:$D$66,"77W",'Vols additionnels'!$B$7:$B$66,"&gt;="&amp;$J$81,'Vols additionnels'!$B$7:$B$66,"&lt;="&amp;$K$81)</f>
        <v>0</v>
      </c>
      <c r="F103" s="32" t="n">
        <f aca="false">SUMPRODUCT($C$82:$I$82,LEN(INDEX('Saisie programme'!$D$13:$J$477,127,0)))+SUMIFS('Vols additionnels'!$E$7:$E$66,'Vols additionnels'!$C$7:$C$66,"DZARUN",'Vols additionnels'!$D$7:$D$66,"77W",'Vols additionnels'!$B$7:$B$66,"&gt;="&amp;$J$82,'Vols additionnels'!$B$7:$B$66,"&lt;="&amp;$K$82)</f>
        <v>0</v>
      </c>
      <c r="G103" s="32" t="n">
        <f aca="false">SUMPRODUCT($C$83:$I$83,LEN(INDEX('Saisie programme'!$D$13:$J$477,166,0)))+SUMIFS('Vols additionnels'!$E$7:$E$66,'Vols additionnels'!$C$7:$C$66,"DZARUN",'Vols additionnels'!$D$7:$D$66,"77W",'Vols additionnels'!$B$7:$B$66,"&gt;="&amp;$J$83,'Vols additionnels'!$B$7:$B$66,"&lt;="&amp;$K$83)</f>
        <v>0</v>
      </c>
      <c r="H103" s="32" t="n">
        <f aca="false">SUMPRODUCT($C$84:$I$84,LEN(INDEX('Saisie programme'!$D$13:$J$477,205,0)))+SUMIFS('Vols additionnels'!$E$7:$E$66,'Vols additionnels'!$C$7:$C$66,"DZARUN",'Vols additionnels'!$D$7:$D$66,"77W",'Vols additionnels'!$B$7:$B$66,"&gt;="&amp;$J$84,'Vols additionnels'!$B$7:$B$66,"&lt;="&amp;$K$84)</f>
        <v>0</v>
      </c>
      <c r="I103" s="32" t="n">
        <f aca="false">SUMPRODUCT($C$85:$I$85,LEN(INDEX('Saisie programme'!$D$13:$J$477,244,0)))+SUMIFS('Vols additionnels'!$E$7:$E$66,'Vols additionnels'!$C$7:$C$66,"DZARUN",'Vols additionnels'!$D$7:$D$66,"77W",'Vols additionnels'!$B$7:$B$66,"&gt;="&amp;$J$85,'Vols additionnels'!$B$7:$B$66,"&lt;="&amp;$K$85)</f>
        <v>0</v>
      </c>
      <c r="J103" s="32" t="n">
        <f aca="false">SUMPRODUCT($C$86:$I$86,LEN(INDEX('Saisie programme'!$D$13:$J$477,283,0)))+SUMIFS('Vols additionnels'!$E$7:$E$66,'Vols additionnels'!$C$7:$C$66,"DZARUN",'Vols additionnels'!$D$7:$D$66,"77W",'Vols additionnels'!$B$7:$B$66,"&gt;="&amp;$J$86,'Vols additionnels'!$B$7:$B$66,"&lt;="&amp;$K$86)</f>
        <v>0</v>
      </c>
      <c r="K103" s="32" t="n">
        <f aca="false">SUMPRODUCT($C$87:$I$87,LEN(INDEX('Saisie programme'!$D$13:$J$477,322,0)))+SUMIFS('Vols additionnels'!$E$7:$E$66,'Vols additionnels'!$C$7:$C$66,"DZARUN",'Vols additionnels'!$D$7:$D$66,"77W",'Vols additionnels'!$B$7:$B$66,"&gt;="&amp;$J$87,'Vols additionnels'!$B$7:$B$66,"&lt;="&amp;$K$87)</f>
        <v>0</v>
      </c>
      <c r="L103" s="32" t="n">
        <f aca="false">SUMPRODUCT($C$88:$I$88,LEN(INDEX('Saisie programme'!$D$13:$J$477,361,0)))+SUMIFS('Vols additionnels'!$E$7:$E$66,'Vols additionnels'!$C$7:$C$66,"DZARUN",'Vols additionnels'!$D$7:$D$66,"77W",'Vols additionnels'!$B$7:$B$66,"&gt;="&amp;$J$88,'Vols additionnels'!$B$7:$B$66,"&lt;="&amp;$K$88)</f>
        <v>0</v>
      </c>
      <c r="M103" s="32" t="n">
        <f aca="false">SUMPRODUCT($C$89:$I$89,LEN(INDEX('Saisie programme'!$D$13:$J$477,400,0)))+SUMIFS('Vols additionnels'!$E$7:$E$66,'Vols additionnels'!$C$7:$C$66,"DZARUN",'Vols additionnels'!$D$7:$D$66,"77W",'Vols additionnels'!$B$7:$B$66,"&gt;="&amp;$J$89,'Vols additionnels'!$B$7:$B$66,"&lt;="&amp;$K$89)</f>
        <v>0</v>
      </c>
      <c r="N103" s="32" t="n">
        <f aca="false">SUMPRODUCT($C$90:$I$90,LEN(INDEX('Saisie programme'!$D$13:$J$477,439,0)))+SUMIFS('Vols additionnels'!$E$7:$E$66,'Vols additionnels'!$C$7:$C$66,"DZARUN",'Vols additionnels'!$D$7:$D$66,"77W",'Vols additionnels'!$B$7:$B$66,"&gt;="&amp;$J$90,'Vols additionnels'!$B$7:$B$66,"&lt;="&amp;$K$90)</f>
        <v>0</v>
      </c>
      <c r="O103" s="12" t="s">
        <v>36</v>
      </c>
      <c r="P103" s="12" t="s">
        <v>11</v>
      </c>
    </row>
    <row r="104" customFormat="false" ht="15" hidden="false" customHeight="false" outlineLevel="0" collapsed="false">
      <c r="B104" s="10" t="s">
        <v>111</v>
      </c>
      <c r="C104" s="32" t="n">
        <f aca="false">SUMPRODUCT($C$79:$I$79,LEN(INDEX('Saisie programme'!$D$13:$J$477,11,0)))+SUMIFS('Vols additionnels'!$E$7:$E$66,'Vols additionnels'!$C$7:$C$66,"DZARUN",'Vols additionnels'!$D$7:$D$66,"787",'Vols additionnels'!$B$7:$B$66,"&gt;="&amp;$J$79,'Vols additionnels'!$B$7:$B$66,"&lt;="&amp;$K$79)</f>
        <v>4</v>
      </c>
      <c r="D104" s="32" t="n">
        <f aca="false">SUMPRODUCT($C$80:$I$80,LEN(INDEX('Saisie programme'!$D$13:$J$477,50,0)))+SUMIFS('Vols additionnels'!$E$7:$E$66,'Vols additionnels'!$C$7:$C$66,"DZARUN",'Vols additionnels'!$D$7:$D$66,"787",'Vols additionnels'!$B$7:$B$66,"&gt;="&amp;$J$80,'Vols additionnels'!$B$7:$B$66,"&lt;="&amp;$K$80)</f>
        <v>4</v>
      </c>
      <c r="E104" s="32" t="n">
        <f aca="false">SUMPRODUCT($C$81:$I$81,LEN(INDEX('Saisie programme'!$D$13:$J$477,89,0)))+SUMIFS('Vols additionnels'!$E$7:$E$66,'Vols additionnels'!$C$7:$C$66,"DZARUN",'Vols additionnels'!$D$7:$D$66,"787",'Vols additionnels'!$B$7:$B$66,"&gt;="&amp;$J$81,'Vols additionnels'!$B$7:$B$66,"&lt;="&amp;$K$81)</f>
        <v>5</v>
      </c>
      <c r="F104" s="32" t="n">
        <f aca="false">SUMPRODUCT($C$82:$I$82,LEN(INDEX('Saisie programme'!$D$13:$J$477,128,0)))+SUMIFS('Vols additionnels'!$E$7:$E$66,'Vols additionnels'!$C$7:$C$66,"DZARUN",'Vols additionnels'!$D$7:$D$66,"787",'Vols additionnels'!$B$7:$B$66,"&gt;="&amp;$J$82,'Vols additionnels'!$B$7:$B$66,"&lt;="&amp;$K$82)</f>
        <v>4</v>
      </c>
      <c r="G104" s="32" t="n">
        <f aca="false">SUMPRODUCT($C$83:$I$83,LEN(INDEX('Saisie programme'!$D$13:$J$477,167,0)))+SUMIFS('Vols additionnels'!$E$7:$E$66,'Vols additionnels'!$C$7:$C$66,"DZARUN",'Vols additionnels'!$D$7:$D$66,"787",'Vols additionnels'!$B$7:$B$66,"&gt;="&amp;$J$83,'Vols additionnels'!$B$7:$B$66,"&lt;="&amp;$K$83)</f>
        <v>4</v>
      </c>
      <c r="H104" s="32" t="n">
        <f aca="false">SUMPRODUCT($C$84:$I$84,LEN(INDEX('Saisie programme'!$D$13:$J$477,206,0)))+SUMIFS('Vols additionnels'!$E$7:$E$66,'Vols additionnels'!$C$7:$C$66,"DZARUN",'Vols additionnels'!$D$7:$D$66,"787",'Vols additionnels'!$B$7:$B$66,"&gt;="&amp;$J$84,'Vols additionnels'!$B$7:$B$66,"&lt;="&amp;$K$84)</f>
        <v>5</v>
      </c>
      <c r="I104" s="32" t="n">
        <f aca="false">SUMPRODUCT($C$85:$I$85,LEN(INDEX('Saisie programme'!$D$13:$J$477,245,0)))+SUMIFS('Vols additionnels'!$E$7:$E$66,'Vols additionnels'!$C$7:$C$66,"DZARUN",'Vols additionnels'!$D$7:$D$66,"787",'Vols additionnels'!$B$7:$B$66,"&gt;="&amp;$J$85,'Vols additionnels'!$B$7:$B$66,"&lt;="&amp;$K$85)</f>
        <v>4</v>
      </c>
      <c r="J104" s="32" t="n">
        <f aca="false">SUMPRODUCT($C$86:$I$86,LEN(INDEX('Saisie programme'!$D$13:$J$477,284,0)))+SUMIFS('Vols additionnels'!$E$7:$E$66,'Vols additionnels'!$C$7:$C$66,"DZARUN",'Vols additionnels'!$D$7:$D$66,"787",'Vols additionnels'!$B$7:$B$66,"&gt;="&amp;$J$86,'Vols additionnels'!$B$7:$B$66,"&lt;="&amp;$K$86)</f>
        <v>4</v>
      </c>
      <c r="K104" s="32" t="n">
        <f aca="false">SUMPRODUCT($C$87:$I$87,LEN(INDEX('Saisie programme'!$D$13:$J$477,323,0)))+SUMIFS('Vols additionnels'!$E$7:$E$66,'Vols additionnels'!$C$7:$C$66,"DZARUN",'Vols additionnels'!$D$7:$D$66,"787",'Vols additionnels'!$B$7:$B$66,"&gt;="&amp;$J$87,'Vols additionnels'!$B$7:$B$66,"&lt;="&amp;$K$87)</f>
        <v>5</v>
      </c>
      <c r="L104" s="32" t="n">
        <f aca="false">SUMPRODUCT($C$88:$I$88,LEN(INDEX('Saisie programme'!$D$13:$J$477,362,0)))+SUMIFS('Vols additionnels'!$E$7:$E$66,'Vols additionnels'!$C$7:$C$66,"DZARUN",'Vols additionnels'!$D$7:$D$66,"787",'Vols additionnels'!$B$7:$B$66,"&gt;="&amp;$J$88,'Vols additionnels'!$B$7:$B$66,"&lt;="&amp;$K$88)</f>
        <v>4</v>
      </c>
      <c r="M104" s="32" t="n">
        <f aca="false">SUMPRODUCT($C$89:$I$89,LEN(INDEX('Saisie programme'!$D$13:$J$477,401,0)))+SUMIFS('Vols additionnels'!$E$7:$E$66,'Vols additionnels'!$C$7:$C$66,"DZARUN",'Vols additionnels'!$D$7:$D$66,"787",'Vols additionnels'!$B$7:$B$66,"&gt;="&amp;$J$89,'Vols additionnels'!$B$7:$B$66,"&lt;="&amp;$K$89)</f>
        <v>4</v>
      </c>
      <c r="N104" s="32" t="n">
        <f aca="false">SUMPRODUCT($C$90:$I$90,LEN(INDEX('Saisie programme'!$D$13:$J$477,440,0)))+SUMIFS('Vols additionnels'!$E$7:$E$66,'Vols additionnels'!$C$7:$C$66,"DZARUN",'Vols additionnels'!$D$7:$D$66,"787",'Vols additionnels'!$B$7:$B$66,"&gt;="&amp;$J$90,'Vols additionnels'!$B$7:$B$66,"&lt;="&amp;$K$90)</f>
        <v>5</v>
      </c>
      <c r="O104" s="12" t="s">
        <v>36</v>
      </c>
      <c r="P104" s="12" t="s">
        <v>19</v>
      </c>
    </row>
    <row r="105" customFormat="false" ht="15" hidden="false" customHeight="false" outlineLevel="0" collapsed="false">
      <c r="B105" s="10" t="s">
        <v>112</v>
      </c>
      <c r="C105" s="32" t="n">
        <f aca="false">SUMPRODUCT($C$79:$I$79,LEN(INDEX('Saisie programme'!$D$13:$J$477,12,0)))+SUMIFS('Vols additionnels'!$E$7:$E$66,'Vols additionnels'!$C$7:$C$66,"DZARUN",'Vols additionnels'!$D$7:$D$66,"A320",'Vols additionnels'!$B$7:$B$66,"&gt;="&amp;$J$79,'Vols additionnels'!$B$7:$B$66,"&lt;="&amp;$K$79)</f>
        <v>22</v>
      </c>
      <c r="D105" s="32" t="n">
        <f aca="false">SUMPRODUCT($C$80:$I$80,LEN(INDEX('Saisie programme'!$D$13:$J$477,51,0)))+SUMIFS('Vols additionnels'!$E$7:$E$66,'Vols additionnels'!$C$7:$C$66,"DZARUN",'Vols additionnels'!$D$7:$D$66,"A320",'Vols additionnels'!$B$7:$B$66,"&gt;="&amp;$J$80,'Vols additionnels'!$B$7:$B$66,"&lt;="&amp;$K$80)</f>
        <v>21</v>
      </c>
      <c r="E105" s="32" t="n">
        <f aca="false">SUMPRODUCT($C$81:$I$81,LEN(INDEX('Saisie programme'!$D$13:$J$477,90,0)))+SUMIFS('Vols additionnels'!$E$7:$E$66,'Vols additionnels'!$C$7:$C$66,"DZARUN",'Vols additionnels'!$D$7:$D$66,"A320",'Vols additionnels'!$B$7:$B$66,"&gt;="&amp;$J$81,'Vols additionnels'!$B$7:$B$66,"&lt;="&amp;$K$81)</f>
        <v>22</v>
      </c>
      <c r="F105" s="32" t="n">
        <f aca="false">SUMPRODUCT($C$82:$I$82,LEN(INDEX('Saisie programme'!$D$13:$J$477,129,0)))+SUMIFS('Vols additionnels'!$E$7:$E$66,'Vols additionnels'!$C$7:$C$66,"DZARUN",'Vols additionnels'!$D$7:$D$66,"A320",'Vols additionnels'!$B$7:$B$66,"&gt;="&amp;$J$82,'Vols additionnels'!$B$7:$B$66,"&lt;="&amp;$K$82)</f>
        <v>22</v>
      </c>
      <c r="G105" s="32" t="n">
        <f aca="false">SUMPRODUCT($C$83:$I$83,LEN(INDEX('Saisie programme'!$D$13:$J$477,168,0)))+SUMIFS('Vols additionnels'!$E$7:$E$66,'Vols additionnels'!$C$7:$C$66,"DZARUN",'Vols additionnels'!$D$7:$D$66,"A320",'Vols additionnels'!$B$7:$B$66,"&gt;="&amp;$J$83,'Vols additionnels'!$B$7:$B$66,"&lt;="&amp;$K$83)</f>
        <v>22</v>
      </c>
      <c r="H105" s="32" t="n">
        <f aca="false">SUMPRODUCT($C$84:$I$84,LEN(INDEX('Saisie programme'!$D$13:$J$477,207,0)))+SUMIFS('Vols additionnels'!$E$7:$E$66,'Vols additionnels'!$C$7:$C$66,"DZARUN",'Vols additionnels'!$D$7:$D$66,"A320",'Vols additionnels'!$B$7:$B$66,"&gt;="&amp;$J$84,'Vols additionnels'!$B$7:$B$66,"&lt;="&amp;$K$84)</f>
        <v>22</v>
      </c>
      <c r="I105" s="32" t="n">
        <f aca="false">SUMPRODUCT($C$85:$I$85,LEN(INDEX('Saisie programme'!$D$13:$J$477,246,0)))+SUMIFS('Vols additionnels'!$E$7:$E$66,'Vols additionnels'!$C$7:$C$66,"DZARUN",'Vols additionnels'!$D$7:$D$66,"A320",'Vols additionnels'!$B$7:$B$66,"&gt;="&amp;$J$85,'Vols additionnels'!$B$7:$B$66,"&lt;="&amp;$K$85)</f>
        <v>21</v>
      </c>
      <c r="J105" s="32" t="n">
        <f aca="false">SUMPRODUCT($C$86:$I$86,LEN(INDEX('Saisie programme'!$D$13:$J$477,285,0)))+SUMIFS('Vols additionnels'!$E$7:$E$66,'Vols additionnels'!$C$7:$C$66,"DZARUN",'Vols additionnels'!$D$7:$D$66,"A320",'Vols additionnels'!$B$7:$B$66,"&gt;="&amp;$J$86,'Vols additionnels'!$B$7:$B$66,"&lt;="&amp;$K$86)</f>
        <v>22</v>
      </c>
      <c r="K105" s="32" t="n">
        <f aca="false">SUMPRODUCT($C$87:$I$87,LEN(INDEX('Saisie programme'!$D$13:$J$477,324,0)))+SUMIFS('Vols additionnels'!$E$7:$E$66,'Vols additionnels'!$C$7:$C$66,"DZARUN",'Vols additionnels'!$D$7:$D$66,"A320",'Vols additionnels'!$B$7:$B$66,"&gt;="&amp;$J$87,'Vols additionnels'!$B$7:$B$66,"&lt;="&amp;$K$87)</f>
        <v>23</v>
      </c>
      <c r="L105" s="32" t="n">
        <f aca="false">SUMPRODUCT($C$88:$I$88,LEN(INDEX('Saisie programme'!$D$13:$J$477,363,0)))+SUMIFS('Vols additionnels'!$E$7:$E$66,'Vols additionnels'!$C$7:$C$66,"DZARUN",'Vols additionnels'!$D$7:$D$66,"A320",'Vols additionnels'!$B$7:$B$66,"&gt;="&amp;$J$88,'Vols additionnels'!$B$7:$B$66,"&lt;="&amp;$K$88)</f>
        <v>21</v>
      </c>
      <c r="M105" s="32" t="n">
        <f aca="false">SUMPRODUCT($C$89:$I$89,LEN(INDEX('Saisie programme'!$D$13:$J$477,402,0)))+SUMIFS('Vols additionnels'!$E$7:$E$66,'Vols additionnels'!$C$7:$C$66,"DZARUN",'Vols additionnels'!$D$7:$D$66,"A320",'Vols additionnels'!$B$7:$B$66,"&gt;="&amp;$J$89,'Vols additionnels'!$B$7:$B$66,"&lt;="&amp;$K$89)</f>
        <v>21</v>
      </c>
      <c r="N105" s="32" t="n">
        <f aca="false">SUMPRODUCT($C$90:$I$90,LEN(INDEX('Saisie programme'!$D$13:$J$477,441,0)))+SUMIFS('Vols additionnels'!$E$7:$E$66,'Vols additionnels'!$C$7:$C$66,"DZARUN",'Vols additionnels'!$D$7:$D$66,"A320",'Vols additionnels'!$B$7:$B$66,"&gt;="&amp;$J$90,'Vols additionnels'!$B$7:$B$66,"&lt;="&amp;$K$90)</f>
        <v>23</v>
      </c>
      <c r="O105" s="12" t="s">
        <v>36</v>
      </c>
      <c r="P105" s="12" t="s">
        <v>24</v>
      </c>
    </row>
    <row r="106" customFormat="false" ht="15" hidden="false" customHeight="false" outlineLevel="0" collapsed="false">
      <c r="B106" s="10" t="s">
        <v>113</v>
      </c>
      <c r="C106" s="32" t="n">
        <f aca="false">SUMPRODUCT($C$79:$I$79,LEN(INDEX('Saisie programme'!$D$13:$J$477,13,0)))+SUMIFS('Vols additionnels'!$E$7:$E$66,'Vols additionnels'!$C$7:$C$66,"MRURUN",'Vols additionnels'!$D$7:$D$66,"77W",'Vols additionnels'!$B$7:$B$66,"&gt;="&amp;$J$79,'Vols additionnels'!$B$7:$B$66,"&lt;="&amp;$K$79)</f>
        <v>0</v>
      </c>
      <c r="D106" s="32" t="n">
        <f aca="false">SUMPRODUCT($C$80:$I$80,LEN(INDEX('Saisie programme'!$D$13:$J$477,52,0)))+SUMIFS('Vols additionnels'!$E$7:$E$66,'Vols additionnels'!$C$7:$C$66,"MRURUN",'Vols additionnels'!$D$7:$D$66,"77W",'Vols additionnels'!$B$7:$B$66,"&gt;="&amp;$J$80,'Vols additionnels'!$B$7:$B$66,"&lt;="&amp;$K$80)</f>
        <v>0</v>
      </c>
      <c r="E106" s="32" t="n">
        <f aca="false">SUMPRODUCT($C$81:$I$81,LEN(INDEX('Saisie programme'!$D$13:$J$477,91,0)))+SUMIFS('Vols additionnels'!$E$7:$E$66,'Vols additionnels'!$C$7:$C$66,"MRURUN",'Vols additionnels'!$D$7:$D$66,"77W",'Vols additionnels'!$B$7:$B$66,"&gt;="&amp;$J$81,'Vols additionnels'!$B$7:$B$66,"&lt;="&amp;$K$81)</f>
        <v>0</v>
      </c>
      <c r="F106" s="32" t="n">
        <f aca="false">SUMPRODUCT($C$82:$I$82,LEN(INDEX('Saisie programme'!$D$13:$J$477,130,0)))+SUMIFS('Vols additionnels'!$E$7:$E$66,'Vols additionnels'!$C$7:$C$66,"MRURUN",'Vols additionnels'!$D$7:$D$66,"77W",'Vols additionnels'!$B$7:$B$66,"&gt;="&amp;$J$82,'Vols additionnels'!$B$7:$B$66,"&lt;="&amp;$K$82)</f>
        <v>0</v>
      </c>
      <c r="G106" s="32" t="n">
        <f aca="false">SUMPRODUCT($C$83:$I$83,LEN(INDEX('Saisie programme'!$D$13:$J$477,169,0)))+SUMIFS('Vols additionnels'!$E$7:$E$66,'Vols additionnels'!$C$7:$C$66,"MRURUN",'Vols additionnels'!$D$7:$D$66,"77W",'Vols additionnels'!$B$7:$B$66,"&gt;="&amp;$J$83,'Vols additionnels'!$B$7:$B$66,"&lt;="&amp;$K$83)</f>
        <v>0</v>
      </c>
      <c r="H106" s="32" t="n">
        <f aca="false">SUMPRODUCT($C$84:$I$84,LEN(INDEX('Saisie programme'!$D$13:$J$477,208,0)))+SUMIFS('Vols additionnels'!$E$7:$E$66,'Vols additionnels'!$C$7:$C$66,"MRURUN",'Vols additionnels'!$D$7:$D$66,"77W",'Vols additionnels'!$B$7:$B$66,"&gt;="&amp;$J$84,'Vols additionnels'!$B$7:$B$66,"&lt;="&amp;$K$84)</f>
        <v>0</v>
      </c>
      <c r="I106" s="32" t="n">
        <f aca="false">SUMPRODUCT($C$85:$I$85,LEN(INDEX('Saisie programme'!$D$13:$J$477,247,0)))+SUMIFS('Vols additionnels'!$E$7:$E$66,'Vols additionnels'!$C$7:$C$66,"MRURUN",'Vols additionnels'!$D$7:$D$66,"77W",'Vols additionnels'!$B$7:$B$66,"&gt;="&amp;$J$85,'Vols additionnels'!$B$7:$B$66,"&lt;="&amp;$K$85)</f>
        <v>0</v>
      </c>
      <c r="J106" s="32" t="n">
        <f aca="false">SUMPRODUCT($C$86:$I$86,LEN(INDEX('Saisie programme'!$D$13:$J$477,286,0)))+SUMIFS('Vols additionnels'!$E$7:$E$66,'Vols additionnels'!$C$7:$C$66,"MRURUN",'Vols additionnels'!$D$7:$D$66,"77W",'Vols additionnels'!$B$7:$B$66,"&gt;="&amp;$J$86,'Vols additionnels'!$B$7:$B$66,"&lt;="&amp;$K$86)</f>
        <v>0</v>
      </c>
      <c r="K106" s="32" t="n">
        <f aca="false">SUMPRODUCT($C$87:$I$87,LEN(INDEX('Saisie programme'!$D$13:$J$477,325,0)))+SUMIFS('Vols additionnels'!$E$7:$E$66,'Vols additionnels'!$C$7:$C$66,"MRURUN",'Vols additionnels'!$D$7:$D$66,"77W",'Vols additionnels'!$B$7:$B$66,"&gt;="&amp;$J$87,'Vols additionnels'!$B$7:$B$66,"&lt;="&amp;$K$87)</f>
        <v>0</v>
      </c>
      <c r="L106" s="32" t="n">
        <f aca="false">SUMPRODUCT($C$88:$I$88,LEN(INDEX('Saisie programme'!$D$13:$J$477,364,0)))+SUMIFS('Vols additionnels'!$E$7:$E$66,'Vols additionnels'!$C$7:$C$66,"MRURUN",'Vols additionnels'!$D$7:$D$66,"77W",'Vols additionnels'!$B$7:$B$66,"&gt;="&amp;$J$88,'Vols additionnels'!$B$7:$B$66,"&lt;="&amp;$K$88)</f>
        <v>0</v>
      </c>
      <c r="M106" s="32" t="n">
        <f aca="false">SUMPRODUCT($C$89:$I$89,LEN(INDEX('Saisie programme'!$D$13:$J$477,403,0)))+SUMIFS('Vols additionnels'!$E$7:$E$66,'Vols additionnels'!$C$7:$C$66,"MRURUN",'Vols additionnels'!$D$7:$D$66,"77W",'Vols additionnels'!$B$7:$B$66,"&gt;="&amp;$J$89,'Vols additionnels'!$B$7:$B$66,"&lt;="&amp;$K$89)</f>
        <v>0</v>
      </c>
      <c r="N106" s="32" t="n">
        <f aca="false">SUMPRODUCT($C$90:$I$90,LEN(INDEX('Saisie programme'!$D$13:$J$477,442,0)))+SUMIFS('Vols additionnels'!$E$7:$E$66,'Vols additionnels'!$C$7:$C$66,"MRURUN",'Vols additionnels'!$D$7:$D$66,"77W",'Vols additionnels'!$B$7:$B$66,"&gt;="&amp;$J$90,'Vols additionnels'!$B$7:$B$66,"&lt;="&amp;$K$90)</f>
        <v>0</v>
      </c>
      <c r="O106" s="12" t="s">
        <v>40</v>
      </c>
      <c r="P106" s="12" t="s">
        <v>11</v>
      </c>
    </row>
    <row r="107" customFormat="false" ht="15" hidden="false" customHeight="false" outlineLevel="0" collapsed="false">
      <c r="B107" s="10" t="s">
        <v>114</v>
      </c>
      <c r="C107" s="32" t="n">
        <f aca="false">SUMPRODUCT($C$79:$I$79,LEN(INDEX('Saisie programme'!$D$13:$J$477,14,0)))+SUMIFS('Vols additionnels'!$E$7:$E$66,'Vols additionnels'!$C$7:$C$66,"MRURUN",'Vols additionnels'!$D$7:$D$66,"787",'Vols additionnels'!$B$7:$B$66,"&gt;="&amp;$J$79,'Vols additionnels'!$B$7:$B$66,"&lt;="&amp;$K$79)</f>
        <v>0</v>
      </c>
      <c r="D107" s="32" t="n">
        <f aca="false">SUMPRODUCT($C$80:$I$80,LEN(INDEX('Saisie programme'!$D$13:$J$477,53,0)))+SUMIFS('Vols additionnels'!$E$7:$E$66,'Vols additionnels'!$C$7:$C$66,"MRURUN",'Vols additionnels'!$D$7:$D$66,"787",'Vols additionnels'!$B$7:$B$66,"&gt;="&amp;$J$80,'Vols additionnels'!$B$7:$B$66,"&lt;="&amp;$K$80)</f>
        <v>0</v>
      </c>
      <c r="E107" s="32" t="n">
        <f aca="false">SUMPRODUCT($C$81:$I$81,LEN(INDEX('Saisie programme'!$D$13:$J$477,92,0)))+SUMIFS('Vols additionnels'!$E$7:$E$66,'Vols additionnels'!$C$7:$C$66,"MRURUN",'Vols additionnels'!$D$7:$D$66,"787",'Vols additionnels'!$B$7:$B$66,"&gt;="&amp;$J$81,'Vols additionnels'!$B$7:$B$66,"&lt;="&amp;$K$81)</f>
        <v>0</v>
      </c>
      <c r="F107" s="32" t="n">
        <f aca="false">SUMPRODUCT($C$82:$I$82,LEN(INDEX('Saisie programme'!$D$13:$J$477,131,0)))+SUMIFS('Vols additionnels'!$E$7:$E$66,'Vols additionnels'!$C$7:$C$66,"MRURUN",'Vols additionnels'!$D$7:$D$66,"787",'Vols additionnels'!$B$7:$B$66,"&gt;="&amp;$J$82,'Vols additionnels'!$B$7:$B$66,"&lt;="&amp;$K$82)</f>
        <v>0</v>
      </c>
      <c r="G107" s="32" t="n">
        <f aca="false">SUMPRODUCT($C$83:$I$83,LEN(INDEX('Saisie programme'!$D$13:$J$477,170,0)))+SUMIFS('Vols additionnels'!$E$7:$E$66,'Vols additionnels'!$C$7:$C$66,"MRURUN",'Vols additionnels'!$D$7:$D$66,"787",'Vols additionnels'!$B$7:$B$66,"&gt;="&amp;$J$83,'Vols additionnels'!$B$7:$B$66,"&lt;="&amp;$K$83)</f>
        <v>0</v>
      </c>
      <c r="H107" s="32" t="n">
        <f aca="false">SUMPRODUCT($C$84:$I$84,LEN(INDEX('Saisie programme'!$D$13:$J$477,209,0)))+SUMIFS('Vols additionnels'!$E$7:$E$66,'Vols additionnels'!$C$7:$C$66,"MRURUN",'Vols additionnels'!$D$7:$D$66,"787",'Vols additionnels'!$B$7:$B$66,"&gt;="&amp;$J$84,'Vols additionnels'!$B$7:$B$66,"&lt;="&amp;$K$84)</f>
        <v>0</v>
      </c>
      <c r="I107" s="32" t="n">
        <f aca="false">SUMPRODUCT($C$85:$I$85,LEN(INDEX('Saisie programme'!$D$13:$J$477,248,0)))+SUMIFS('Vols additionnels'!$E$7:$E$66,'Vols additionnels'!$C$7:$C$66,"MRURUN",'Vols additionnels'!$D$7:$D$66,"787",'Vols additionnels'!$B$7:$B$66,"&gt;="&amp;$J$85,'Vols additionnels'!$B$7:$B$66,"&lt;="&amp;$K$85)</f>
        <v>0</v>
      </c>
      <c r="J107" s="32" t="n">
        <f aca="false">SUMPRODUCT($C$86:$I$86,LEN(INDEX('Saisie programme'!$D$13:$J$477,287,0)))+SUMIFS('Vols additionnels'!$E$7:$E$66,'Vols additionnels'!$C$7:$C$66,"MRURUN",'Vols additionnels'!$D$7:$D$66,"787",'Vols additionnels'!$B$7:$B$66,"&gt;="&amp;$J$86,'Vols additionnels'!$B$7:$B$66,"&lt;="&amp;$K$86)</f>
        <v>0</v>
      </c>
      <c r="K107" s="32" t="n">
        <f aca="false">SUMPRODUCT($C$87:$I$87,LEN(INDEX('Saisie programme'!$D$13:$J$477,326,0)))+SUMIFS('Vols additionnels'!$E$7:$E$66,'Vols additionnels'!$C$7:$C$66,"MRURUN",'Vols additionnels'!$D$7:$D$66,"787",'Vols additionnels'!$B$7:$B$66,"&gt;="&amp;$J$87,'Vols additionnels'!$B$7:$B$66,"&lt;="&amp;$K$87)</f>
        <v>0</v>
      </c>
      <c r="L107" s="32" t="n">
        <f aca="false">SUMPRODUCT($C$88:$I$88,LEN(INDEX('Saisie programme'!$D$13:$J$477,365,0)))+SUMIFS('Vols additionnels'!$E$7:$E$66,'Vols additionnels'!$C$7:$C$66,"MRURUN",'Vols additionnels'!$D$7:$D$66,"787",'Vols additionnels'!$B$7:$B$66,"&gt;="&amp;$J$88,'Vols additionnels'!$B$7:$B$66,"&lt;="&amp;$K$88)</f>
        <v>0</v>
      </c>
      <c r="M107" s="32" t="n">
        <f aca="false">SUMPRODUCT($C$89:$I$89,LEN(INDEX('Saisie programme'!$D$13:$J$477,404,0)))+SUMIFS('Vols additionnels'!$E$7:$E$66,'Vols additionnels'!$C$7:$C$66,"MRURUN",'Vols additionnels'!$D$7:$D$66,"787",'Vols additionnels'!$B$7:$B$66,"&gt;="&amp;$J$89,'Vols additionnels'!$B$7:$B$66,"&lt;="&amp;$K$89)</f>
        <v>0</v>
      </c>
      <c r="N107" s="32" t="n">
        <f aca="false">SUMPRODUCT($C$90:$I$90,LEN(INDEX('Saisie programme'!$D$13:$J$477,443,0)))+SUMIFS('Vols additionnels'!$E$7:$E$66,'Vols additionnels'!$C$7:$C$66,"MRURUN",'Vols additionnels'!$D$7:$D$66,"787",'Vols additionnels'!$B$7:$B$66,"&gt;="&amp;$J$90,'Vols additionnels'!$B$7:$B$66,"&lt;="&amp;$K$90)</f>
        <v>0</v>
      </c>
      <c r="O107" s="12" t="s">
        <v>40</v>
      </c>
      <c r="P107" s="12" t="s">
        <v>19</v>
      </c>
    </row>
    <row r="108" customFormat="false" ht="15" hidden="false" customHeight="false" outlineLevel="0" collapsed="false">
      <c r="B108" s="10" t="s">
        <v>115</v>
      </c>
      <c r="C108" s="32" t="n">
        <f aca="false">SUMPRODUCT($C$79:$I$79,LEN(INDEX('Saisie programme'!$D$13:$J$477,15,0)))+SUMIFS('Vols additionnels'!$E$7:$E$66,'Vols additionnels'!$C$7:$C$66,"MRURUN",'Vols additionnels'!$D$7:$D$66,"A320",'Vols additionnels'!$B$7:$B$66,"&gt;="&amp;$J$79,'Vols additionnels'!$B$7:$B$66,"&lt;="&amp;$K$79)</f>
        <v>17</v>
      </c>
      <c r="D108" s="32" t="n">
        <f aca="false">SUMPRODUCT($C$80:$I$80,LEN(INDEX('Saisie programme'!$D$13:$J$477,54,0)))+SUMIFS('Vols additionnels'!$E$7:$E$66,'Vols additionnels'!$C$7:$C$66,"MRURUN",'Vols additionnels'!$D$7:$D$66,"A320",'Vols additionnels'!$B$7:$B$66,"&gt;="&amp;$J$80,'Vols additionnels'!$B$7:$B$66,"&lt;="&amp;$K$80)</f>
        <v>18</v>
      </c>
      <c r="E108" s="32" t="n">
        <f aca="false">SUMPRODUCT($C$81:$I$81,LEN(INDEX('Saisie programme'!$D$13:$J$477,93,0)))+SUMIFS('Vols additionnels'!$E$7:$E$66,'Vols additionnels'!$C$7:$C$66,"MRURUN",'Vols additionnels'!$D$7:$D$66,"A320",'Vols additionnels'!$B$7:$B$66,"&gt;="&amp;$J$81,'Vols additionnels'!$B$7:$B$66,"&lt;="&amp;$K$81)</f>
        <v>17</v>
      </c>
      <c r="F108" s="32" t="n">
        <f aca="false">SUMPRODUCT($C$82:$I$82,LEN(INDEX('Saisie programme'!$D$13:$J$477,132,0)))+SUMIFS('Vols additionnels'!$E$7:$E$66,'Vols additionnels'!$C$7:$C$66,"MRURUN",'Vols additionnels'!$D$7:$D$66,"A320",'Vols additionnels'!$B$7:$B$66,"&gt;="&amp;$J$82,'Vols additionnels'!$B$7:$B$66,"&lt;="&amp;$K$82)</f>
        <v>17</v>
      </c>
      <c r="G108" s="32" t="n">
        <f aca="false">SUMPRODUCT($C$83:$I$83,LEN(INDEX('Saisie programme'!$D$13:$J$477,171,0)))+SUMIFS('Vols additionnels'!$E$7:$E$66,'Vols additionnels'!$C$7:$C$66,"MRURUN",'Vols additionnels'!$D$7:$D$66,"A320",'Vols additionnels'!$B$7:$B$66,"&gt;="&amp;$J$83,'Vols additionnels'!$B$7:$B$66,"&lt;="&amp;$K$83)</f>
        <v>18</v>
      </c>
      <c r="H108" s="32" t="n">
        <f aca="false">SUMPRODUCT($C$84:$I$84,LEN(INDEX('Saisie programme'!$D$13:$J$477,210,0)))+SUMIFS('Vols additionnels'!$E$7:$E$66,'Vols additionnels'!$C$7:$C$66,"MRURUN",'Vols additionnels'!$D$7:$D$66,"A320",'Vols additionnels'!$B$7:$B$66,"&gt;="&amp;$J$84,'Vols additionnels'!$B$7:$B$66,"&lt;="&amp;$K$84)</f>
        <v>17</v>
      </c>
      <c r="I108" s="32" t="n">
        <f aca="false">SUMPRODUCT($C$85:$I$85,LEN(INDEX('Saisie programme'!$D$13:$J$477,249,0)))+SUMIFS('Vols additionnels'!$E$7:$E$66,'Vols additionnels'!$C$7:$C$66,"MRURUN",'Vols additionnels'!$D$7:$D$66,"A320",'Vols additionnels'!$B$7:$B$66,"&gt;="&amp;$J$85,'Vols additionnels'!$B$7:$B$66,"&lt;="&amp;$K$85)</f>
        <v>18</v>
      </c>
      <c r="J108" s="32" t="n">
        <f aca="false">SUMPRODUCT($C$86:$I$86,LEN(INDEX('Saisie programme'!$D$13:$J$477,288,0)))+SUMIFS('Vols additionnels'!$E$7:$E$66,'Vols additionnels'!$C$7:$C$66,"MRURUN",'Vols additionnels'!$D$7:$D$66,"A320",'Vols additionnels'!$B$7:$B$66,"&gt;="&amp;$J$86,'Vols additionnels'!$B$7:$B$66,"&lt;="&amp;$K$86)</f>
        <v>17</v>
      </c>
      <c r="K108" s="32" t="n">
        <f aca="false">SUMPRODUCT($C$87:$I$87,LEN(INDEX('Saisie programme'!$D$13:$J$477,327,0)))+SUMIFS('Vols additionnels'!$E$7:$E$66,'Vols additionnels'!$C$7:$C$66,"MRURUN",'Vols additionnels'!$D$7:$D$66,"A320",'Vols additionnels'!$B$7:$B$66,"&gt;="&amp;$J$87,'Vols additionnels'!$B$7:$B$66,"&lt;="&amp;$K$87)</f>
        <v>18</v>
      </c>
      <c r="L108" s="32" t="n">
        <f aca="false">SUMPRODUCT($C$88:$I$88,LEN(INDEX('Saisie programme'!$D$13:$J$477,366,0)))+SUMIFS('Vols additionnels'!$E$7:$E$66,'Vols additionnels'!$C$7:$C$66,"MRURUN",'Vols additionnels'!$D$7:$D$66,"A320",'Vols additionnels'!$B$7:$B$66,"&gt;="&amp;$J$88,'Vols additionnels'!$B$7:$B$66,"&lt;="&amp;$K$88)</f>
        <v>18</v>
      </c>
      <c r="M108" s="32" t="n">
        <f aca="false">SUMPRODUCT($C$89:$I$89,LEN(INDEX('Saisie programme'!$D$13:$J$477,405,0)))+SUMIFS('Vols additionnels'!$E$7:$E$66,'Vols additionnels'!$C$7:$C$66,"MRURUN",'Vols additionnels'!$D$7:$D$66,"A320",'Vols additionnels'!$B$7:$B$66,"&gt;="&amp;$J$89,'Vols additionnels'!$B$7:$B$66,"&lt;="&amp;$K$89)</f>
        <v>16</v>
      </c>
      <c r="N108" s="32" t="n">
        <f aca="false">SUMPRODUCT($C$90:$I$90,LEN(INDEX('Saisie programme'!$D$13:$J$477,444,0)))+SUMIFS('Vols additionnels'!$E$7:$E$66,'Vols additionnels'!$C$7:$C$66,"MRURUN",'Vols additionnels'!$D$7:$D$66,"A320",'Vols additionnels'!$B$7:$B$66,"&gt;="&amp;$J$90,'Vols additionnels'!$B$7:$B$66,"&lt;="&amp;$K$90)</f>
        <v>18</v>
      </c>
      <c r="O108" s="12" t="s">
        <v>40</v>
      </c>
      <c r="P108" s="12" t="s">
        <v>24</v>
      </c>
    </row>
    <row r="109" customFormat="false" ht="15" hidden="false" customHeight="false" outlineLevel="0" collapsed="false">
      <c r="B109" s="10" t="s">
        <v>116</v>
      </c>
      <c r="C109" s="32" t="n">
        <f aca="false">SUMPRODUCT($C$79:$I$79,LEN(INDEX('Saisie programme'!$D$13:$J$477,16,0)))+SUMIFS('Vols additionnels'!$E$7:$E$66,'Vols additionnels'!$C$7:$C$66,"NOSRUN",'Vols additionnels'!$D$7:$D$66,"77W",'Vols additionnels'!$B$7:$B$66,"&gt;="&amp;$J$79,'Vols additionnels'!$B$7:$B$66,"&lt;="&amp;$K$79)</f>
        <v>0</v>
      </c>
      <c r="D109" s="32" t="n">
        <f aca="false">SUMPRODUCT($C$80:$I$80,LEN(INDEX('Saisie programme'!$D$13:$J$477,55,0)))+SUMIFS('Vols additionnels'!$E$7:$E$66,'Vols additionnels'!$C$7:$C$66,"NOSRUN",'Vols additionnels'!$D$7:$D$66,"77W",'Vols additionnels'!$B$7:$B$66,"&gt;="&amp;$J$80,'Vols additionnels'!$B$7:$B$66,"&lt;="&amp;$K$80)</f>
        <v>0</v>
      </c>
      <c r="E109" s="32" t="n">
        <f aca="false">SUMPRODUCT($C$81:$I$81,LEN(INDEX('Saisie programme'!$D$13:$J$477,94,0)))+SUMIFS('Vols additionnels'!$E$7:$E$66,'Vols additionnels'!$C$7:$C$66,"NOSRUN",'Vols additionnels'!$D$7:$D$66,"77W",'Vols additionnels'!$B$7:$B$66,"&gt;="&amp;$J$81,'Vols additionnels'!$B$7:$B$66,"&lt;="&amp;$K$81)</f>
        <v>0</v>
      </c>
      <c r="F109" s="32" t="n">
        <f aca="false">SUMPRODUCT($C$82:$I$82,LEN(INDEX('Saisie programme'!$D$13:$J$477,133,0)))+SUMIFS('Vols additionnels'!$E$7:$E$66,'Vols additionnels'!$C$7:$C$66,"NOSRUN",'Vols additionnels'!$D$7:$D$66,"77W",'Vols additionnels'!$B$7:$B$66,"&gt;="&amp;$J$82,'Vols additionnels'!$B$7:$B$66,"&lt;="&amp;$K$82)</f>
        <v>0</v>
      </c>
      <c r="G109" s="32" t="n">
        <f aca="false">SUMPRODUCT($C$83:$I$83,LEN(INDEX('Saisie programme'!$D$13:$J$477,172,0)))+SUMIFS('Vols additionnels'!$E$7:$E$66,'Vols additionnels'!$C$7:$C$66,"NOSRUN",'Vols additionnels'!$D$7:$D$66,"77W",'Vols additionnels'!$B$7:$B$66,"&gt;="&amp;$J$83,'Vols additionnels'!$B$7:$B$66,"&lt;="&amp;$K$83)</f>
        <v>0</v>
      </c>
      <c r="H109" s="32" t="n">
        <f aca="false">SUMPRODUCT($C$84:$I$84,LEN(INDEX('Saisie programme'!$D$13:$J$477,211,0)))+SUMIFS('Vols additionnels'!$E$7:$E$66,'Vols additionnels'!$C$7:$C$66,"NOSRUN",'Vols additionnels'!$D$7:$D$66,"77W",'Vols additionnels'!$B$7:$B$66,"&gt;="&amp;$J$84,'Vols additionnels'!$B$7:$B$66,"&lt;="&amp;$K$84)</f>
        <v>0</v>
      </c>
      <c r="I109" s="32" t="n">
        <f aca="false">SUMPRODUCT($C$85:$I$85,LEN(INDEX('Saisie programme'!$D$13:$J$477,250,0)))+SUMIFS('Vols additionnels'!$E$7:$E$66,'Vols additionnels'!$C$7:$C$66,"NOSRUN",'Vols additionnels'!$D$7:$D$66,"77W",'Vols additionnels'!$B$7:$B$66,"&gt;="&amp;$J$85,'Vols additionnels'!$B$7:$B$66,"&lt;="&amp;$K$85)</f>
        <v>0</v>
      </c>
      <c r="J109" s="32" t="n">
        <f aca="false">SUMPRODUCT($C$86:$I$86,LEN(INDEX('Saisie programme'!$D$13:$J$477,289,0)))+SUMIFS('Vols additionnels'!$E$7:$E$66,'Vols additionnels'!$C$7:$C$66,"NOSRUN",'Vols additionnels'!$D$7:$D$66,"77W",'Vols additionnels'!$B$7:$B$66,"&gt;="&amp;$J$86,'Vols additionnels'!$B$7:$B$66,"&lt;="&amp;$K$86)</f>
        <v>0</v>
      </c>
      <c r="K109" s="32" t="n">
        <f aca="false">SUMPRODUCT($C$87:$I$87,LEN(INDEX('Saisie programme'!$D$13:$J$477,328,0)))+SUMIFS('Vols additionnels'!$E$7:$E$66,'Vols additionnels'!$C$7:$C$66,"NOSRUN",'Vols additionnels'!$D$7:$D$66,"77W",'Vols additionnels'!$B$7:$B$66,"&gt;="&amp;$J$87,'Vols additionnels'!$B$7:$B$66,"&lt;="&amp;$K$87)</f>
        <v>0</v>
      </c>
      <c r="L109" s="32" t="n">
        <f aca="false">SUMPRODUCT($C$88:$I$88,LEN(INDEX('Saisie programme'!$D$13:$J$477,367,0)))+SUMIFS('Vols additionnels'!$E$7:$E$66,'Vols additionnels'!$C$7:$C$66,"NOSRUN",'Vols additionnels'!$D$7:$D$66,"77W",'Vols additionnels'!$B$7:$B$66,"&gt;="&amp;$J$88,'Vols additionnels'!$B$7:$B$66,"&lt;="&amp;$K$88)</f>
        <v>0</v>
      </c>
      <c r="M109" s="32" t="n">
        <f aca="false">SUMPRODUCT($C$89:$I$89,LEN(INDEX('Saisie programme'!$D$13:$J$477,406,0)))+SUMIFS('Vols additionnels'!$E$7:$E$66,'Vols additionnels'!$C$7:$C$66,"NOSRUN",'Vols additionnels'!$D$7:$D$66,"77W",'Vols additionnels'!$B$7:$B$66,"&gt;="&amp;$J$89,'Vols additionnels'!$B$7:$B$66,"&lt;="&amp;$K$89)</f>
        <v>0</v>
      </c>
      <c r="N109" s="32" t="n">
        <f aca="false">SUMPRODUCT($C$90:$I$90,LEN(INDEX('Saisie programme'!$D$13:$J$477,445,0)))+SUMIFS('Vols additionnels'!$E$7:$E$66,'Vols additionnels'!$C$7:$C$66,"NOSRUN",'Vols additionnels'!$D$7:$D$66,"77W",'Vols additionnels'!$B$7:$B$66,"&gt;="&amp;$J$90,'Vols additionnels'!$B$7:$B$66,"&lt;="&amp;$K$90)</f>
        <v>0</v>
      </c>
      <c r="O109" s="12" t="s">
        <v>14</v>
      </c>
      <c r="P109" s="12" t="s">
        <v>11</v>
      </c>
    </row>
    <row r="110" customFormat="false" ht="15" hidden="false" customHeight="false" outlineLevel="0" collapsed="false">
      <c r="B110" s="10" t="s">
        <v>117</v>
      </c>
      <c r="C110" s="32" t="n">
        <f aca="false">SUMPRODUCT($C$79:$I$79,LEN(INDEX('Saisie programme'!$D$13:$J$477,17,0)))+SUMIFS('Vols additionnels'!$E$7:$E$66,'Vols additionnels'!$C$7:$C$66,"NOSRUN",'Vols additionnels'!$D$7:$D$66,"787",'Vols additionnels'!$B$7:$B$66,"&gt;="&amp;$J$79,'Vols additionnels'!$B$7:$B$66,"&lt;="&amp;$K$79)</f>
        <v>0</v>
      </c>
      <c r="D110" s="32" t="n">
        <f aca="false">SUMPRODUCT($C$80:$I$80,LEN(INDEX('Saisie programme'!$D$13:$J$477,56,0)))+SUMIFS('Vols additionnels'!$E$7:$E$66,'Vols additionnels'!$C$7:$C$66,"NOSRUN",'Vols additionnels'!$D$7:$D$66,"787",'Vols additionnels'!$B$7:$B$66,"&gt;="&amp;$J$80,'Vols additionnels'!$B$7:$B$66,"&lt;="&amp;$K$80)</f>
        <v>0</v>
      </c>
      <c r="E110" s="32" t="n">
        <f aca="false">SUMPRODUCT($C$81:$I$81,LEN(INDEX('Saisie programme'!$D$13:$J$477,95,0)))+SUMIFS('Vols additionnels'!$E$7:$E$66,'Vols additionnels'!$C$7:$C$66,"NOSRUN",'Vols additionnels'!$D$7:$D$66,"787",'Vols additionnels'!$B$7:$B$66,"&gt;="&amp;$J$81,'Vols additionnels'!$B$7:$B$66,"&lt;="&amp;$K$81)</f>
        <v>0</v>
      </c>
      <c r="F110" s="32" t="n">
        <f aca="false">SUMPRODUCT($C$82:$I$82,LEN(INDEX('Saisie programme'!$D$13:$J$477,134,0)))+SUMIFS('Vols additionnels'!$E$7:$E$66,'Vols additionnels'!$C$7:$C$66,"NOSRUN",'Vols additionnels'!$D$7:$D$66,"787",'Vols additionnels'!$B$7:$B$66,"&gt;="&amp;$J$82,'Vols additionnels'!$B$7:$B$66,"&lt;="&amp;$K$82)</f>
        <v>0</v>
      </c>
      <c r="G110" s="32" t="n">
        <f aca="false">SUMPRODUCT($C$83:$I$83,LEN(INDEX('Saisie programme'!$D$13:$J$477,173,0)))+SUMIFS('Vols additionnels'!$E$7:$E$66,'Vols additionnels'!$C$7:$C$66,"NOSRUN",'Vols additionnels'!$D$7:$D$66,"787",'Vols additionnels'!$B$7:$B$66,"&gt;="&amp;$J$83,'Vols additionnels'!$B$7:$B$66,"&lt;="&amp;$K$83)</f>
        <v>0</v>
      </c>
      <c r="H110" s="32" t="n">
        <f aca="false">SUMPRODUCT($C$84:$I$84,LEN(INDEX('Saisie programme'!$D$13:$J$477,212,0)))+SUMIFS('Vols additionnels'!$E$7:$E$66,'Vols additionnels'!$C$7:$C$66,"NOSRUN",'Vols additionnels'!$D$7:$D$66,"787",'Vols additionnels'!$B$7:$B$66,"&gt;="&amp;$J$84,'Vols additionnels'!$B$7:$B$66,"&lt;="&amp;$K$84)</f>
        <v>0</v>
      </c>
      <c r="I110" s="32" t="n">
        <f aca="false">SUMPRODUCT($C$85:$I$85,LEN(INDEX('Saisie programme'!$D$13:$J$477,251,0)))+SUMIFS('Vols additionnels'!$E$7:$E$66,'Vols additionnels'!$C$7:$C$66,"NOSRUN",'Vols additionnels'!$D$7:$D$66,"787",'Vols additionnels'!$B$7:$B$66,"&gt;="&amp;$J$85,'Vols additionnels'!$B$7:$B$66,"&lt;="&amp;$K$85)</f>
        <v>0</v>
      </c>
      <c r="J110" s="32" t="n">
        <f aca="false">SUMPRODUCT($C$86:$I$86,LEN(INDEX('Saisie programme'!$D$13:$J$477,290,0)))+SUMIFS('Vols additionnels'!$E$7:$E$66,'Vols additionnels'!$C$7:$C$66,"NOSRUN",'Vols additionnels'!$D$7:$D$66,"787",'Vols additionnels'!$B$7:$B$66,"&gt;="&amp;$J$86,'Vols additionnels'!$B$7:$B$66,"&lt;="&amp;$K$86)</f>
        <v>0</v>
      </c>
      <c r="K110" s="32" t="n">
        <f aca="false">SUMPRODUCT($C$87:$I$87,LEN(INDEX('Saisie programme'!$D$13:$J$477,329,0)))+SUMIFS('Vols additionnels'!$E$7:$E$66,'Vols additionnels'!$C$7:$C$66,"NOSRUN",'Vols additionnels'!$D$7:$D$66,"787",'Vols additionnels'!$B$7:$B$66,"&gt;="&amp;$J$87,'Vols additionnels'!$B$7:$B$66,"&lt;="&amp;$K$87)</f>
        <v>0</v>
      </c>
      <c r="L110" s="32" t="n">
        <f aca="false">SUMPRODUCT($C$88:$I$88,LEN(INDEX('Saisie programme'!$D$13:$J$477,368,0)))+SUMIFS('Vols additionnels'!$E$7:$E$66,'Vols additionnels'!$C$7:$C$66,"NOSRUN",'Vols additionnels'!$D$7:$D$66,"787",'Vols additionnels'!$B$7:$B$66,"&gt;="&amp;$J$88,'Vols additionnels'!$B$7:$B$66,"&lt;="&amp;$K$88)</f>
        <v>0</v>
      </c>
      <c r="M110" s="32" t="n">
        <f aca="false">SUMPRODUCT($C$89:$I$89,LEN(INDEX('Saisie programme'!$D$13:$J$477,407,0)))+SUMIFS('Vols additionnels'!$E$7:$E$66,'Vols additionnels'!$C$7:$C$66,"NOSRUN",'Vols additionnels'!$D$7:$D$66,"787",'Vols additionnels'!$B$7:$B$66,"&gt;="&amp;$J$89,'Vols additionnels'!$B$7:$B$66,"&lt;="&amp;$K$89)</f>
        <v>0</v>
      </c>
      <c r="N110" s="32" t="n">
        <f aca="false">SUMPRODUCT($C$90:$I$90,LEN(INDEX('Saisie programme'!$D$13:$J$477,446,0)))+SUMIFS('Vols additionnels'!$E$7:$E$66,'Vols additionnels'!$C$7:$C$66,"NOSRUN",'Vols additionnels'!$D$7:$D$66,"787",'Vols additionnels'!$B$7:$B$66,"&gt;="&amp;$J$90,'Vols additionnels'!$B$7:$B$66,"&lt;="&amp;$K$90)</f>
        <v>0</v>
      </c>
      <c r="O110" s="12" t="s">
        <v>14</v>
      </c>
      <c r="P110" s="12" t="s">
        <v>19</v>
      </c>
    </row>
    <row r="111" customFormat="false" ht="15" hidden="false" customHeight="false" outlineLevel="0" collapsed="false">
      <c r="B111" s="10" t="s">
        <v>118</v>
      </c>
      <c r="C111" s="32" t="n">
        <f aca="false">SUMPRODUCT($C$79:$I$79,LEN(INDEX('Saisie programme'!$D$13:$J$477,18,0)))+SUMIFS('Vols additionnels'!$E$7:$E$66,'Vols additionnels'!$C$7:$C$66,"NOSRUN",'Vols additionnels'!$D$7:$D$66,"A320",'Vols additionnels'!$B$7:$B$66,"&gt;="&amp;$J$79,'Vols additionnels'!$B$7:$B$66,"&lt;="&amp;$K$79)</f>
        <v>13</v>
      </c>
      <c r="D111" s="32" t="n">
        <f aca="false">SUMPRODUCT($C$80:$I$80,LEN(INDEX('Saisie programme'!$D$13:$J$477,57,0)))+SUMIFS('Vols additionnels'!$E$7:$E$66,'Vols additionnels'!$C$7:$C$66,"NOSRUN",'Vols additionnels'!$D$7:$D$66,"A320",'Vols additionnels'!$B$7:$B$66,"&gt;="&amp;$J$80,'Vols additionnels'!$B$7:$B$66,"&lt;="&amp;$K$80)</f>
        <v>14</v>
      </c>
      <c r="E111" s="32" t="n">
        <f aca="false">SUMPRODUCT($C$81:$I$81,LEN(INDEX('Saisie programme'!$D$13:$J$477,96,0)))+SUMIFS('Vols additionnels'!$E$7:$E$66,'Vols additionnels'!$C$7:$C$66,"NOSRUN",'Vols additionnels'!$D$7:$D$66,"A320",'Vols additionnels'!$B$7:$B$66,"&gt;="&amp;$J$81,'Vols additionnels'!$B$7:$B$66,"&lt;="&amp;$K$81)</f>
        <v>12</v>
      </c>
      <c r="F111" s="32" t="n">
        <f aca="false">SUMPRODUCT($C$82:$I$82,LEN(INDEX('Saisie programme'!$D$13:$J$477,135,0)))+SUMIFS('Vols additionnels'!$E$7:$E$66,'Vols additionnels'!$C$7:$C$66,"NOSRUN",'Vols additionnels'!$D$7:$D$66,"A320",'Vols additionnels'!$B$7:$B$66,"&gt;="&amp;$J$82,'Vols additionnels'!$B$7:$B$66,"&lt;="&amp;$K$82)</f>
        <v>18</v>
      </c>
      <c r="G111" s="32" t="n">
        <f aca="false">SUMPRODUCT($C$83:$I$83,LEN(INDEX('Saisie programme'!$D$13:$J$477,174,0)))+SUMIFS('Vols additionnels'!$E$7:$E$66,'Vols additionnels'!$C$7:$C$66,"NOSRUN",'Vols additionnels'!$D$7:$D$66,"A320",'Vols additionnels'!$B$7:$B$66,"&gt;="&amp;$J$83,'Vols additionnels'!$B$7:$B$66,"&lt;="&amp;$K$83)</f>
        <v>13</v>
      </c>
      <c r="H111" s="32" t="n">
        <f aca="false">SUMPRODUCT($C$84:$I$84,LEN(INDEX('Saisie programme'!$D$13:$J$477,213,0)))+SUMIFS('Vols additionnels'!$E$7:$E$66,'Vols additionnels'!$C$7:$C$66,"NOSRUN",'Vols additionnels'!$D$7:$D$66,"A320",'Vols additionnels'!$B$7:$B$66,"&gt;="&amp;$J$84,'Vols additionnels'!$B$7:$B$66,"&lt;="&amp;$K$84)</f>
        <v>13</v>
      </c>
      <c r="I111" s="32" t="n">
        <f aca="false">SUMPRODUCT($C$85:$I$85,LEN(INDEX('Saisie programme'!$D$13:$J$477,252,0)))+SUMIFS('Vols additionnels'!$E$7:$E$66,'Vols additionnels'!$C$7:$C$66,"NOSRUN",'Vols additionnels'!$D$7:$D$66,"A320",'Vols additionnels'!$B$7:$B$66,"&gt;="&amp;$J$85,'Vols additionnels'!$B$7:$B$66,"&lt;="&amp;$K$85)</f>
        <v>13</v>
      </c>
      <c r="J111" s="32" t="n">
        <f aca="false">SUMPRODUCT($C$86:$I$86,LEN(INDEX('Saisie programme'!$D$13:$J$477,291,0)))+SUMIFS('Vols additionnels'!$E$7:$E$66,'Vols additionnels'!$C$7:$C$66,"NOSRUN",'Vols additionnels'!$D$7:$D$66,"A320",'Vols additionnels'!$B$7:$B$66,"&gt;="&amp;$J$86,'Vols additionnels'!$B$7:$B$66,"&lt;="&amp;$K$86)</f>
        <v>13</v>
      </c>
      <c r="K111" s="32" t="n">
        <f aca="false">SUMPRODUCT($C$87:$I$87,LEN(INDEX('Saisie programme'!$D$13:$J$477,330,0)))+SUMIFS('Vols additionnels'!$E$7:$E$66,'Vols additionnels'!$C$7:$C$66,"NOSRUN",'Vols additionnels'!$D$7:$D$66,"A320",'Vols additionnels'!$B$7:$B$66,"&gt;="&amp;$J$87,'Vols additionnels'!$B$7:$B$66,"&lt;="&amp;$K$87)</f>
        <v>21</v>
      </c>
      <c r="L111" s="32" t="n">
        <f aca="false">SUMPRODUCT($C$88:$I$88,LEN(INDEX('Saisie programme'!$D$13:$J$477,369,0)))+SUMIFS('Vols additionnels'!$E$7:$E$66,'Vols additionnels'!$C$7:$C$66,"NOSRUN",'Vols additionnels'!$D$7:$D$66,"A320",'Vols additionnels'!$B$7:$B$66,"&gt;="&amp;$J$88,'Vols additionnels'!$B$7:$B$66,"&lt;="&amp;$K$88)</f>
        <v>14</v>
      </c>
      <c r="M111" s="32" t="n">
        <f aca="false">SUMPRODUCT($C$89:$I$89,LEN(INDEX('Saisie programme'!$D$13:$J$477,408,0)))+SUMIFS('Vols additionnels'!$E$7:$E$66,'Vols additionnels'!$C$7:$C$66,"NOSRUN",'Vols additionnels'!$D$7:$D$66,"A320",'Vols additionnels'!$B$7:$B$66,"&gt;="&amp;$J$89,'Vols additionnels'!$B$7:$B$66,"&lt;="&amp;$K$89)</f>
        <v>12</v>
      </c>
      <c r="N111" s="32" t="n">
        <f aca="false">SUMPRODUCT($C$90:$I$90,LEN(INDEX('Saisie programme'!$D$13:$J$477,447,0)))+SUMIFS('Vols additionnels'!$E$7:$E$66,'Vols additionnels'!$C$7:$C$66,"NOSRUN",'Vols additionnels'!$D$7:$D$66,"A320",'Vols additionnels'!$B$7:$B$66,"&gt;="&amp;$J$90,'Vols additionnels'!$B$7:$B$66,"&lt;="&amp;$K$90)</f>
        <v>13</v>
      </c>
      <c r="O111" s="12" t="s">
        <v>14</v>
      </c>
      <c r="P111" s="12" t="s">
        <v>24</v>
      </c>
    </row>
    <row r="112" customFormat="false" ht="15" hidden="false" customHeight="false" outlineLevel="0" collapsed="false">
      <c r="B112" s="10" t="s">
        <v>119</v>
      </c>
      <c r="C112" s="32" t="n">
        <f aca="false">SUMPRODUCT($C$79:$I$79,LEN(INDEX('Saisie programme'!$D$13:$J$477,19,0)))+SUMIFS('Vols additionnels'!$E$7:$E$66,'Vols additionnels'!$C$7:$C$66,"RUNTNR",'Vols additionnels'!$D$7:$D$66,"77W",'Vols additionnels'!$B$7:$B$66,"&gt;="&amp;$J$79,'Vols additionnels'!$B$7:$B$66,"&lt;="&amp;$K$79)</f>
        <v>0</v>
      </c>
      <c r="D112" s="32" t="n">
        <f aca="false">SUMPRODUCT($C$80:$I$80,LEN(INDEX('Saisie programme'!$D$13:$J$477,58,0)))+SUMIFS('Vols additionnels'!$E$7:$E$66,'Vols additionnels'!$C$7:$C$66,"RUNTNR",'Vols additionnels'!$D$7:$D$66,"77W",'Vols additionnels'!$B$7:$B$66,"&gt;="&amp;$J$80,'Vols additionnels'!$B$7:$B$66,"&lt;="&amp;$K$80)</f>
        <v>0</v>
      </c>
      <c r="E112" s="32" t="n">
        <f aca="false">SUMPRODUCT($C$81:$I$81,LEN(INDEX('Saisie programme'!$D$13:$J$477,97,0)))+SUMIFS('Vols additionnels'!$E$7:$E$66,'Vols additionnels'!$C$7:$C$66,"RUNTNR",'Vols additionnels'!$D$7:$D$66,"77W",'Vols additionnels'!$B$7:$B$66,"&gt;="&amp;$J$81,'Vols additionnels'!$B$7:$B$66,"&lt;="&amp;$K$81)</f>
        <v>0</v>
      </c>
      <c r="F112" s="32" t="n">
        <f aca="false">SUMPRODUCT($C$82:$I$82,LEN(INDEX('Saisie programme'!$D$13:$J$477,136,0)))+SUMIFS('Vols additionnels'!$E$7:$E$66,'Vols additionnels'!$C$7:$C$66,"RUNTNR",'Vols additionnels'!$D$7:$D$66,"77W",'Vols additionnels'!$B$7:$B$66,"&gt;="&amp;$J$82,'Vols additionnels'!$B$7:$B$66,"&lt;="&amp;$K$82)</f>
        <v>0</v>
      </c>
      <c r="G112" s="32" t="n">
        <f aca="false">SUMPRODUCT($C$83:$I$83,LEN(INDEX('Saisie programme'!$D$13:$J$477,175,0)))+SUMIFS('Vols additionnels'!$E$7:$E$66,'Vols additionnels'!$C$7:$C$66,"RUNTNR",'Vols additionnels'!$D$7:$D$66,"77W",'Vols additionnels'!$B$7:$B$66,"&gt;="&amp;$J$83,'Vols additionnels'!$B$7:$B$66,"&lt;="&amp;$K$83)</f>
        <v>0</v>
      </c>
      <c r="H112" s="32" t="n">
        <f aca="false">SUMPRODUCT($C$84:$I$84,LEN(INDEX('Saisie programme'!$D$13:$J$477,214,0)))+SUMIFS('Vols additionnels'!$E$7:$E$66,'Vols additionnels'!$C$7:$C$66,"RUNTNR",'Vols additionnels'!$D$7:$D$66,"77W",'Vols additionnels'!$B$7:$B$66,"&gt;="&amp;$J$84,'Vols additionnels'!$B$7:$B$66,"&lt;="&amp;$K$84)</f>
        <v>0</v>
      </c>
      <c r="I112" s="32" t="n">
        <f aca="false">SUMPRODUCT($C$85:$I$85,LEN(INDEX('Saisie programme'!$D$13:$J$477,253,0)))+SUMIFS('Vols additionnels'!$E$7:$E$66,'Vols additionnels'!$C$7:$C$66,"RUNTNR",'Vols additionnels'!$D$7:$D$66,"77W",'Vols additionnels'!$B$7:$B$66,"&gt;="&amp;$J$85,'Vols additionnels'!$B$7:$B$66,"&lt;="&amp;$K$85)</f>
        <v>0</v>
      </c>
      <c r="J112" s="32" t="n">
        <f aca="false">SUMPRODUCT($C$86:$I$86,LEN(INDEX('Saisie programme'!$D$13:$J$477,292,0)))+SUMIFS('Vols additionnels'!$E$7:$E$66,'Vols additionnels'!$C$7:$C$66,"RUNTNR",'Vols additionnels'!$D$7:$D$66,"77W",'Vols additionnels'!$B$7:$B$66,"&gt;="&amp;$J$86,'Vols additionnels'!$B$7:$B$66,"&lt;="&amp;$K$86)</f>
        <v>0</v>
      </c>
      <c r="K112" s="32" t="n">
        <f aca="false">SUMPRODUCT($C$87:$I$87,LEN(INDEX('Saisie programme'!$D$13:$J$477,331,0)))+SUMIFS('Vols additionnels'!$E$7:$E$66,'Vols additionnels'!$C$7:$C$66,"RUNTNR",'Vols additionnels'!$D$7:$D$66,"77W",'Vols additionnels'!$B$7:$B$66,"&gt;="&amp;$J$87,'Vols additionnels'!$B$7:$B$66,"&lt;="&amp;$K$87)</f>
        <v>0</v>
      </c>
      <c r="L112" s="32" t="n">
        <f aca="false">SUMPRODUCT($C$88:$I$88,LEN(INDEX('Saisie programme'!$D$13:$J$477,370,0)))+SUMIFS('Vols additionnels'!$E$7:$E$66,'Vols additionnels'!$C$7:$C$66,"RUNTNR",'Vols additionnels'!$D$7:$D$66,"77W",'Vols additionnels'!$B$7:$B$66,"&gt;="&amp;$J$88,'Vols additionnels'!$B$7:$B$66,"&lt;="&amp;$K$88)</f>
        <v>0</v>
      </c>
      <c r="M112" s="32" t="n">
        <f aca="false">SUMPRODUCT($C$89:$I$89,LEN(INDEX('Saisie programme'!$D$13:$J$477,409,0)))+SUMIFS('Vols additionnels'!$E$7:$E$66,'Vols additionnels'!$C$7:$C$66,"RUNTNR",'Vols additionnels'!$D$7:$D$66,"77W",'Vols additionnels'!$B$7:$B$66,"&gt;="&amp;$J$89,'Vols additionnels'!$B$7:$B$66,"&lt;="&amp;$K$89)</f>
        <v>0</v>
      </c>
      <c r="N112" s="32" t="n">
        <f aca="false">SUMPRODUCT($C$90:$I$90,LEN(INDEX('Saisie programme'!$D$13:$J$477,448,0)))+SUMIFS('Vols additionnels'!$E$7:$E$66,'Vols additionnels'!$C$7:$C$66,"RUNTNR",'Vols additionnels'!$D$7:$D$66,"77W",'Vols additionnels'!$B$7:$B$66,"&gt;="&amp;$J$90,'Vols additionnels'!$B$7:$B$66,"&lt;="&amp;$K$90)</f>
        <v>0</v>
      </c>
      <c r="O112" s="12" t="s">
        <v>46</v>
      </c>
      <c r="P112" s="12" t="s">
        <v>11</v>
      </c>
    </row>
    <row r="113" customFormat="false" ht="15" hidden="false" customHeight="false" outlineLevel="0" collapsed="false">
      <c r="B113" s="10" t="s">
        <v>120</v>
      </c>
      <c r="C113" s="32" t="n">
        <f aca="false">SUMPRODUCT($C$79:$I$79,LEN(INDEX('Saisie programme'!$D$13:$J$477,20,0)))+SUMIFS('Vols additionnels'!$E$7:$E$66,'Vols additionnels'!$C$7:$C$66,"RUNTNR",'Vols additionnels'!$D$7:$D$66,"787",'Vols additionnels'!$B$7:$B$66,"&gt;="&amp;$J$79,'Vols additionnels'!$B$7:$B$66,"&lt;="&amp;$K$79)</f>
        <v>0</v>
      </c>
      <c r="D113" s="32" t="n">
        <f aca="false">SUMPRODUCT($C$80:$I$80,LEN(INDEX('Saisie programme'!$D$13:$J$477,59,0)))+SUMIFS('Vols additionnels'!$E$7:$E$66,'Vols additionnels'!$C$7:$C$66,"RUNTNR",'Vols additionnels'!$D$7:$D$66,"787",'Vols additionnels'!$B$7:$B$66,"&gt;="&amp;$J$80,'Vols additionnels'!$B$7:$B$66,"&lt;="&amp;$K$80)</f>
        <v>0</v>
      </c>
      <c r="E113" s="32" t="n">
        <f aca="false">SUMPRODUCT($C$81:$I$81,LEN(INDEX('Saisie programme'!$D$13:$J$477,98,0)))+SUMIFS('Vols additionnels'!$E$7:$E$66,'Vols additionnels'!$C$7:$C$66,"RUNTNR",'Vols additionnels'!$D$7:$D$66,"787",'Vols additionnels'!$B$7:$B$66,"&gt;="&amp;$J$81,'Vols additionnels'!$B$7:$B$66,"&lt;="&amp;$K$81)</f>
        <v>0</v>
      </c>
      <c r="F113" s="32" t="n">
        <f aca="false">SUMPRODUCT($C$82:$I$82,LEN(INDEX('Saisie programme'!$D$13:$J$477,137,0)))+SUMIFS('Vols additionnels'!$E$7:$E$66,'Vols additionnels'!$C$7:$C$66,"RUNTNR",'Vols additionnels'!$D$7:$D$66,"787",'Vols additionnels'!$B$7:$B$66,"&gt;="&amp;$J$82,'Vols additionnels'!$B$7:$B$66,"&lt;="&amp;$K$82)</f>
        <v>0</v>
      </c>
      <c r="G113" s="32" t="n">
        <f aca="false">SUMPRODUCT($C$83:$I$83,LEN(INDEX('Saisie programme'!$D$13:$J$477,176,0)))+SUMIFS('Vols additionnels'!$E$7:$E$66,'Vols additionnels'!$C$7:$C$66,"RUNTNR",'Vols additionnels'!$D$7:$D$66,"787",'Vols additionnels'!$B$7:$B$66,"&gt;="&amp;$J$83,'Vols additionnels'!$B$7:$B$66,"&lt;="&amp;$K$83)</f>
        <v>0</v>
      </c>
      <c r="H113" s="32" t="n">
        <f aca="false">SUMPRODUCT($C$84:$I$84,LEN(INDEX('Saisie programme'!$D$13:$J$477,215,0)))+SUMIFS('Vols additionnels'!$E$7:$E$66,'Vols additionnels'!$C$7:$C$66,"RUNTNR",'Vols additionnels'!$D$7:$D$66,"787",'Vols additionnels'!$B$7:$B$66,"&gt;="&amp;$J$84,'Vols additionnels'!$B$7:$B$66,"&lt;="&amp;$K$84)</f>
        <v>0</v>
      </c>
      <c r="I113" s="32" t="n">
        <f aca="false">SUMPRODUCT($C$85:$I$85,LEN(INDEX('Saisie programme'!$D$13:$J$477,254,0)))+SUMIFS('Vols additionnels'!$E$7:$E$66,'Vols additionnels'!$C$7:$C$66,"RUNTNR",'Vols additionnels'!$D$7:$D$66,"787",'Vols additionnels'!$B$7:$B$66,"&gt;="&amp;$J$85,'Vols additionnels'!$B$7:$B$66,"&lt;="&amp;$K$85)</f>
        <v>0</v>
      </c>
      <c r="J113" s="32" t="n">
        <f aca="false">SUMPRODUCT($C$86:$I$86,LEN(INDEX('Saisie programme'!$D$13:$J$477,293,0)))+SUMIFS('Vols additionnels'!$E$7:$E$66,'Vols additionnels'!$C$7:$C$66,"RUNTNR",'Vols additionnels'!$D$7:$D$66,"787",'Vols additionnels'!$B$7:$B$66,"&gt;="&amp;$J$86,'Vols additionnels'!$B$7:$B$66,"&lt;="&amp;$K$86)</f>
        <v>0</v>
      </c>
      <c r="K113" s="32" t="n">
        <f aca="false">SUMPRODUCT($C$87:$I$87,LEN(INDEX('Saisie programme'!$D$13:$J$477,332,0)))+SUMIFS('Vols additionnels'!$E$7:$E$66,'Vols additionnels'!$C$7:$C$66,"RUNTNR",'Vols additionnels'!$D$7:$D$66,"787",'Vols additionnels'!$B$7:$B$66,"&gt;="&amp;$J$87,'Vols additionnels'!$B$7:$B$66,"&lt;="&amp;$K$87)</f>
        <v>0</v>
      </c>
      <c r="L113" s="32" t="n">
        <f aca="false">SUMPRODUCT($C$88:$I$88,LEN(INDEX('Saisie programme'!$D$13:$J$477,371,0)))+SUMIFS('Vols additionnels'!$E$7:$E$66,'Vols additionnels'!$C$7:$C$66,"RUNTNR",'Vols additionnels'!$D$7:$D$66,"787",'Vols additionnels'!$B$7:$B$66,"&gt;="&amp;$J$88,'Vols additionnels'!$B$7:$B$66,"&lt;="&amp;$K$88)</f>
        <v>0</v>
      </c>
      <c r="M113" s="32" t="n">
        <f aca="false">SUMPRODUCT($C$89:$I$89,LEN(INDEX('Saisie programme'!$D$13:$J$477,410,0)))+SUMIFS('Vols additionnels'!$E$7:$E$66,'Vols additionnels'!$C$7:$C$66,"RUNTNR",'Vols additionnels'!$D$7:$D$66,"787",'Vols additionnels'!$B$7:$B$66,"&gt;="&amp;$J$89,'Vols additionnels'!$B$7:$B$66,"&lt;="&amp;$K$89)</f>
        <v>0</v>
      </c>
      <c r="N113" s="32" t="n">
        <f aca="false">SUMPRODUCT($C$90:$I$90,LEN(INDEX('Saisie programme'!$D$13:$J$477,449,0)))+SUMIFS('Vols additionnels'!$E$7:$E$66,'Vols additionnels'!$C$7:$C$66,"RUNTNR",'Vols additionnels'!$D$7:$D$66,"787",'Vols additionnels'!$B$7:$B$66,"&gt;="&amp;$J$90,'Vols additionnels'!$B$7:$B$66,"&lt;="&amp;$K$90)</f>
        <v>0</v>
      </c>
      <c r="O113" s="12" t="s">
        <v>46</v>
      </c>
      <c r="P113" s="12" t="s">
        <v>19</v>
      </c>
    </row>
    <row r="114" customFormat="false" ht="15" hidden="false" customHeight="false" outlineLevel="0" collapsed="false">
      <c r="B114" s="10" t="s">
        <v>121</v>
      </c>
      <c r="C114" s="32" t="n">
        <f aca="false">SUMPRODUCT($C$79:$I$79,LEN(INDEX('Saisie programme'!$D$13:$J$477,21,0)))+SUMIFS('Vols additionnels'!$E$7:$E$66,'Vols additionnels'!$C$7:$C$66,"RUNTNR",'Vols additionnels'!$D$7:$D$66,"A320",'Vols additionnels'!$B$7:$B$66,"&gt;="&amp;$J$79,'Vols additionnels'!$B$7:$B$66,"&lt;="&amp;$K$79)</f>
        <v>13</v>
      </c>
      <c r="D114" s="32" t="n">
        <f aca="false">SUMPRODUCT($C$80:$I$80,LEN(INDEX('Saisie programme'!$D$13:$J$477,60,0)))+SUMIFS('Vols additionnels'!$E$7:$E$66,'Vols additionnels'!$C$7:$C$66,"RUNTNR",'Vols additionnels'!$D$7:$D$66,"A320",'Vols additionnels'!$B$7:$B$66,"&gt;="&amp;$J$80,'Vols additionnels'!$B$7:$B$66,"&lt;="&amp;$K$80)</f>
        <v>13</v>
      </c>
      <c r="E114" s="32" t="n">
        <f aca="false">SUMPRODUCT($C$81:$I$81,LEN(INDEX('Saisie programme'!$D$13:$J$477,99,0)))+SUMIFS('Vols additionnels'!$E$7:$E$66,'Vols additionnels'!$C$7:$C$66,"RUNTNR",'Vols additionnels'!$D$7:$D$66,"A320",'Vols additionnels'!$B$7:$B$66,"&gt;="&amp;$J$81,'Vols additionnels'!$B$7:$B$66,"&lt;="&amp;$K$81)</f>
        <v>13</v>
      </c>
      <c r="F114" s="32" t="n">
        <f aca="false">SUMPRODUCT($C$82:$I$82,LEN(INDEX('Saisie programme'!$D$13:$J$477,138,0)))+SUMIFS('Vols additionnels'!$E$7:$E$66,'Vols additionnels'!$C$7:$C$66,"RUNTNR",'Vols additionnels'!$D$7:$D$66,"A320",'Vols additionnels'!$B$7:$B$66,"&gt;="&amp;$J$82,'Vols additionnels'!$B$7:$B$66,"&lt;="&amp;$K$82)</f>
        <v>14</v>
      </c>
      <c r="G114" s="32" t="n">
        <f aca="false">SUMPRODUCT($C$83:$I$83,LEN(INDEX('Saisie programme'!$D$13:$J$477,177,0)))+SUMIFS('Vols additionnels'!$E$7:$E$66,'Vols additionnels'!$C$7:$C$66,"RUNTNR",'Vols additionnels'!$D$7:$D$66,"A320",'Vols additionnels'!$B$7:$B$66,"&gt;="&amp;$J$83,'Vols additionnels'!$B$7:$B$66,"&lt;="&amp;$K$83)</f>
        <v>13</v>
      </c>
      <c r="H114" s="32" t="n">
        <f aca="false">SUMPRODUCT($C$84:$I$84,LEN(INDEX('Saisie programme'!$D$13:$J$477,216,0)))+SUMIFS('Vols additionnels'!$E$7:$E$66,'Vols additionnels'!$C$7:$C$66,"RUNTNR",'Vols additionnels'!$D$7:$D$66,"A320",'Vols additionnels'!$B$7:$B$66,"&gt;="&amp;$J$84,'Vols additionnels'!$B$7:$B$66,"&lt;="&amp;$K$84)</f>
        <v>13</v>
      </c>
      <c r="I114" s="32" t="n">
        <f aca="false">SUMPRODUCT($C$85:$I$85,LEN(INDEX('Saisie programme'!$D$13:$J$477,255,0)))+SUMIFS('Vols additionnels'!$E$7:$E$66,'Vols additionnels'!$C$7:$C$66,"RUNTNR",'Vols additionnels'!$D$7:$D$66,"A320",'Vols additionnels'!$B$7:$B$66,"&gt;="&amp;$J$85,'Vols additionnels'!$B$7:$B$66,"&lt;="&amp;$K$85)</f>
        <v>13</v>
      </c>
      <c r="J114" s="32" t="n">
        <f aca="false">SUMPRODUCT($C$86:$I$86,LEN(INDEX('Saisie programme'!$D$13:$J$477,294,0)))+SUMIFS('Vols additionnels'!$E$7:$E$66,'Vols additionnels'!$C$7:$C$66,"RUNTNR",'Vols additionnels'!$D$7:$D$66,"A320",'Vols additionnels'!$B$7:$B$66,"&gt;="&amp;$J$86,'Vols additionnels'!$B$7:$B$66,"&lt;="&amp;$K$86)</f>
        <v>13</v>
      </c>
      <c r="K114" s="32" t="n">
        <f aca="false">SUMPRODUCT($C$87:$I$87,LEN(INDEX('Saisie programme'!$D$13:$J$477,333,0)))+SUMIFS('Vols additionnels'!$E$7:$E$66,'Vols additionnels'!$C$7:$C$66,"RUNTNR",'Vols additionnels'!$D$7:$D$66,"A320",'Vols additionnels'!$B$7:$B$66,"&gt;="&amp;$J$87,'Vols additionnels'!$B$7:$B$66,"&lt;="&amp;$K$87)</f>
        <v>13</v>
      </c>
      <c r="L114" s="32" t="n">
        <f aca="false">SUMPRODUCT($C$88:$I$88,LEN(INDEX('Saisie programme'!$D$13:$J$477,372,0)))+SUMIFS('Vols additionnels'!$E$7:$E$66,'Vols additionnels'!$C$7:$C$66,"RUNTNR",'Vols additionnels'!$D$7:$D$66,"A320",'Vols additionnels'!$B$7:$B$66,"&gt;="&amp;$J$88,'Vols additionnels'!$B$7:$B$66,"&lt;="&amp;$K$88)</f>
        <v>13</v>
      </c>
      <c r="M114" s="32" t="n">
        <f aca="false">SUMPRODUCT($C$89:$I$89,LEN(INDEX('Saisie programme'!$D$13:$J$477,411,0)))+SUMIFS('Vols additionnels'!$E$7:$E$66,'Vols additionnels'!$C$7:$C$66,"RUNTNR",'Vols additionnels'!$D$7:$D$66,"A320",'Vols additionnels'!$B$7:$B$66,"&gt;="&amp;$J$89,'Vols additionnels'!$B$7:$B$66,"&lt;="&amp;$K$89)</f>
        <v>13</v>
      </c>
      <c r="N114" s="32" t="n">
        <f aca="false">SUMPRODUCT($C$90:$I$90,LEN(INDEX('Saisie programme'!$D$13:$J$477,450,0)))+SUMIFS('Vols additionnels'!$E$7:$E$66,'Vols additionnels'!$C$7:$C$66,"RUNTNR",'Vols additionnels'!$D$7:$D$66,"A320",'Vols additionnels'!$B$7:$B$66,"&gt;="&amp;$J$90,'Vols additionnels'!$B$7:$B$66,"&lt;="&amp;$K$90)</f>
        <v>13</v>
      </c>
      <c r="O114" s="12" t="s">
        <v>46</v>
      </c>
      <c r="P114" s="12" t="s">
        <v>24</v>
      </c>
    </row>
    <row r="115" customFormat="false" ht="15" hidden="false" customHeight="false" outlineLevel="0" collapsed="false">
      <c r="B115" s="10" t="s">
        <v>122</v>
      </c>
      <c r="C115" s="32" t="n">
        <f aca="false">SUMPRODUCT($C$79:$I$79,LEN(INDEX('Saisie programme'!$D$13:$J$477,22,0)))+SUMIFS('Vols additionnels'!$E$7:$E$66,'Vols additionnels'!$C$7:$C$66,"JNBRUN",'Vols additionnels'!$D$7:$D$66,"77W",'Vols additionnels'!$B$7:$B$66,"&gt;="&amp;$J$79,'Vols additionnels'!$B$7:$B$66,"&lt;="&amp;$K$79)</f>
        <v>0</v>
      </c>
      <c r="D115" s="32" t="n">
        <f aca="false">SUMPRODUCT($C$80:$I$80,LEN(INDEX('Saisie programme'!$D$13:$J$477,61,0)))+SUMIFS('Vols additionnels'!$E$7:$E$66,'Vols additionnels'!$C$7:$C$66,"JNBRUN",'Vols additionnels'!$D$7:$D$66,"77W",'Vols additionnels'!$B$7:$B$66,"&gt;="&amp;$J$80,'Vols additionnels'!$B$7:$B$66,"&lt;="&amp;$K$80)</f>
        <v>0</v>
      </c>
      <c r="E115" s="32" t="n">
        <f aca="false">SUMPRODUCT($C$81:$I$81,LEN(INDEX('Saisie programme'!$D$13:$J$477,100,0)))+SUMIFS('Vols additionnels'!$E$7:$E$66,'Vols additionnels'!$C$7:$C$66,"JNBRUN",'Vols additionnels'!$D$7:$D$66,"77W",'Vols additionnels'!$B$7:$B$66,"&gt;="&amp;$J$81,'Vols additionnels'!$B$7:$B$66,"&lt;="&amp;$K$81)</f>
        <v>0</v>
      </c>
      <c r="F115" s="32" t="n">
        <f aca="false">SUMPRODUCT($C$82:$I$82,LEN(INDEX('Saisie programme'!$D$13:$J$477,139,0)))+SUMIFS('Vols additionnels'!$E$7:$E$66,'Vols additionnels'!$C$7:$C$66,"JNBRUN",'Vols additionnels'!$D$7:$D$66,"77W",'Vols additionnels'!$B$7:$B$66,"&gt;="&amp;$J$82,'Vols additionnels'!$B$7:$B$66,"&lt;="&amp;$K$82)</f>
        <v>0</v>
      </c>
      <c r="G115" s="32" t="n">
        <f aca="false">SUMPRODUCT($C$83:$I$83,LEN(INDEX('Saisie programme'!$D$13:$J$477,178,0)))+SUMIFS('Vols additionnels'!$E$7:$E$66,'Vols additionnels'!$C$7:$C$66,"JNBRUN",'Vols additionnels'!$D$7:$D$66,"77W",'Vols additionnels'!$B$7:$B$66,"&gt;="&amp;$J$83,'Vols additionnels'!$B$7:$B$66,"&lt;="&amp;$K$83)</f>
        <v>0</v>
      </c>
      <c r="H115" s="32" t="n">
        <f aca="false">SUMPRODUCT($C$84:$I$84,LEN(INDEX('Saisie programme'!$D$13:$J$477,217,0)))+SUMIFS('Vols additionnels'!$E$7:$E$66,'Vols additionnels'!$C$7:$C$66,"JNBRUN",'Vols additionnels'!$D$7:$D$66,"77W",'Vols additionnels'!$B$7:$B$66,"&gt;="&amp;$J$84,'Vols additionnels'!$B$7:$B$66,"&lt;="&amp;$K$84)</f>
        <v>0</v>
      </c>
      <c r="I115" s="32" t="n">
        <f aca="false">SUMPRODUCT($C$85:$I$85,LEN(INDEX('Saisie programme'!$D$13:$J$477,256,0)))+SUMIFS('Vols additionnels'!$E$7:$E$66,'Vols additionnels'!$C$7:$C$66,"JNBRUN",'Vols additionnels'!$D$7:$D$66,"77W",'Vols additionnels'!$B$7:$B$66,"&gt;="&amp;$J$85,'Vols additionnels'!$B$7:$B$66,"&lt;="&amp;$K$85)</f>
        <v>0</v>
      </c>
      <c r="J115" s="32" t="n">
        <f aca="false">SUMPRODUCT($C$86:$I$86,LEN(INDEX('Saisie programme'!$D$13:$J$477,295,0)))+SUMIFS('Vols additionnels'!$E$7:$E$66,'Vols additionnels'!$C$7:$C$66,"JNBRUN",'Vols additionnels'!$D$7:$D$66,"77W",'Vols additionnels'!$B$7:$B$66,"&gt;="&amp;$J$86,'Vols additionnels'!$B$7:$B$66,"&lt;="&amp;$K$86)</f>
        <v>0</v>
      </c>
      <c r="K115" s="32" t="n">
        <f aca="false">SUMPRODUCT($C$87:$I$87,LEN(INDEX('Saisie programme'!$D$13:$J$477,334,0)))+SUMIFS('Vols additionnels'!$E$7:$E$66,'Vols additionnels'!$C$7:$C$66,"JNBRUN",'Vols additionnels'!$D$7:$D$66,"77W",'Vols additionnels'!$B$7:$B$66,"&gt;="&amp;$J$87,'Vols additionnels'!$B$7:$B$66,"&lt;="&amp;$K$87)</f>
        <v>0</v>
      </c>
      <c r="L115" s="32" t="n">
        <f aca="false">SUMPRODUCT($C$88:$I$88,LEN(INDEX('Saisie programme'!$D$13:$J$477,373,0)))+SUMIFS('Vols additionnels'!$E$7:$E$66,'Vols additionnels'!$C$7:$C$66,"JNBRUN",'Vols additionnels'!$D$7:$D$66,"77W",'Vols additionnels'!$B$7:$B$66,"&gt;="&amp;$J$88,'Vols additionnels'!$B$7:$B$66,"&lt;="&amp;$K$88)</f>
        <v>0</v>
      </c>
      <c r="M115" s="32" t="n">
        <f aca="false">SUMPRODUCT($C$89:$I$89,LEN(INDEX('Saisie programme'!$D$13:$J$477,412,0)))+SUMIFS('Vols additionnels'!$E$7:$E$66,'Vols additionnels'!$C$7:$C$66,"JNBRUN",'Vols additionnels'!$D$7:$D$66,"77W",'Vols additionnels'!$B$7:$B$66,"&gt;="&amp;$J$89,'Vols additionnels'!$B$7:$B$66,"&lt;="&amp;$K$89)</f>
        <v>0</v>
      </c>
      <c r="N115" s="32" t="n">
        <f aca="false">SUMPRODUCT($C$90:$I$90,LEN(INDEX('Saisie programme'!$D$13:$J$477,451,0)))+SUMIFS('Vols additionnels'!$E$7:$E$66,'Vols additionnels'!$C$7:$C$66,"JNBRUN",'Vols additionnels'!$D$7:$D$66,"77W",'Vols additionnels'!$B$7:$B$66,"&gt;="&amp;$J$90,'Vols additionnels'!$B$7:$B$66,"&lt;="&amp;$K$90)</f>
        <v>0</v>
      </c>
      <c r="O115" s="12" t="s">
        <v>49</v>
      </c>
      <c r="P115" s="12" t="s">
        <v>11</v>
      </c>
    </row>
    <row r="116" customFormat="false" ht="15" hidden="false" customHeight="false" outlineLevel="0" collapsed="false">
      <c r="B116" s="10" t="s">
        <v>123</v>
      </c>
      <c r="C116" s="32" t="n">
        <f aca="false">SUMPRODUCT($C$79:$I$79,LEN(INDEX('Saisie programme'!$D$13:$J$477,23,0)))+SUMIFS('Vols additionnels'!$E$7:$E$66,'Vols additionnels'!$C$7:$C$66,"JNBRUN",'Vols additionnels'!$D$7:$D$66,"787",'Vols additionnels'!$B$7:$B$66,"&gt;="&amp;$J$79,'Vols additionnels'!$B$7:$B$66,"&lt;="&amp;$K$79)</f>
        <v>9</v>
      </c>
      <c r="D116" s="32" t="n">
        <f aca="false">SUMPRODUCT($C$80:$I$80,LEN(INDEX('Saisie programme'!$D$13:$J$477,62,0)))+SUMIFS('Vols additionnels'!$E$7:$E$66,'Vols additionnels'!$C$7:$C$66,"JNBRUN",'Vols additionnels'!$D$7:$D$66,"787",'Vols additionnels'!$B$7:$B$66,"&gt;="&amp;$J$80,'Vols additionnels'!$B$7:$B$66,"&lt;="&amp;$K$80)</f>
        <v>9</v>
      </c>
      <c r="E116" s="32" t="n">
        <f aca="false">SUMPRODUCT($C$81:$I$81,LEN(INDEX('Saisie programme'!$D$13:$J$477,101,0)))+SUMIFS('Vols additionnels'!$E$7:$E$66,'Vols additionnels'!$C$7:$C$66,"JNBRUN",'Vols additionnels'!$D$7:$D$66,"787",'Vols additionnels'!$B$7:$B$66,"&gt;="&amp;$J$81,'Vols additionnels'!$B$7:$B$66,"&lt;="&amp;$K$81)</f>
        <v>8</v>
      </c>
      <c r="F116" s="32" t="n">
        <f aca="false">SUMPRODUCT($C$82:$I$82,LEN(INDEX('Saisie programme'!$D$13:$J$477,140,0)))+SUMIFS('Vols additionnels'!$E$7:$E$66,'Vols additionnels'!$C$7:$C$66,"JNBRUN",'Vols additionnels'!$D$7:$D$66,"787",'Vols additionnels'!$B$7:$B$66,"&gt;="&amp;$J$82,'Vols additionnels'!$B$7:$B$66,"&lt;="&amp;$K$82)</f>
        <v>9</v>
      </c>
      <c r="G116" s="32" t="n">
        <f aca="false">SUMPRODUCT($C$83:$I$83,LEN(INDEX('Saisie programme'!$D$13:$J$477,179,0)))+SUMIFS('Vols additionnels'!$E$7:$E$66,'Vols additionnels'!$C$7:$C$66,"JNBRUN",'Vols additionnels'!$D$7:$D$66,"787",'Vols additionnels'!$B$7:$B$66,"&gt;="&amp;$J$83,'Vols additionnels'!$B$7:$B$66,"&lt;="&amp;$K$83)</f>
        <v>9</v>
      </c>
      <c r="H116" s="32" t="n">
        <f aca="false">SUMPRODUCT($C$84:$I$84,LEN(INDEX('Saisie programme'!$D$13:$J$477,218,0)))+SUMIFS('Vols additionnels'!$E$7:$E$66,'Vols additionnels'!$C$7:$C$66,"JNBRUN",'Vols additionnels'!$D$7:$D$66,"787",'Vols additionnels'!$B$7:$B$66,"&gt;="&amp;$J$84,'Vols additionnels'!$B$7:$B$66,"&lt;="&amp;$K$84)</f>
        <v>8</v>
      </c>
      <c r="I116" s="32" t="n">
        <f aca="false">SUMPRODUCT($C$85:$I$85,LEN(INDEX('Saisie programme'!$D$13:$J$477,257,0)))+SUMIFS('Vols additionnels'!$E$7:$E$66,'Vols additionnels'!$C$7:$C$66,"JNBRUN",'Vols additionnels'!$D$7:$D$66,"787",'Vols additionnels'!$B$7:$B$66,"&gt;="&amp;$J$85,'Vols additionnels'!$B$7:$B$66,"&lt;="&amp;$K$85)</f>
        <v>9</v>
      </c>
      <c r="J116" s="32" t="n">
        <f aca="false">SUMPRODUCT($C$86:$I$86,LEN(INDEX('Saisie programme'!$D$13:$J$477,296,0)))+SUMIFS('Vols additionnels'!$E$7:$E$66,'Vols additionnels'!$C$7:$C$66,"JNBRUN",'Vols additionnels'!$D$7:$D$66,"787",'Vols additionnels'!$B$7:$B$66,"&gt;="&amp;$J$86,'Vols additionnels'!$B$7:$B$66,"&lt;="&amp;$K$86)</f>
        <v>9</v>
      </c>
      <c r="K116" s="32" t="n">
        <f aca="false">SUMPRODUCT($C$87:$I$87,LEN(INDEX('Saisie programme'!$D$13:$J$477,335,0)))+SUMIFS('Vols additionnels'!$E$7:$E$66,'Vols additionnels'!$C$7:$C$66,"JNBRUN",'Vols additionnels'!$D$7:$D$66,"787",'Vols additionnels'!$B$7:$B$66,"&gt;="&amp;$J$87,'Vols additionnels'!$B$7:$B$66,"&lt;="&amp;$K$87)</f>
        <v>9</v>
      </c>
      <c r="L116" s="32" t="n">
        <f aca="false">SUMPRODUCT($C$88:$I$88,LEN(INDEX('Saisie programme'!$D$13:$J$477,374,0)))+SUMIFS('Vols additionnels'!$E$7:$E$66,'Vols additionnels'!$C$7:$C$66,"JNBRUN",'Vols additionnels'!$D$7:$D$66,"787",'Vols additionnels'!$B$7:$B$66,"&gt;="&amp;$J$88,'Vols additionnels'!$B$7:$B$66,"&lt;="&amp;$K$88)</f>
        <v>9</v>
      </c>
      <c r="M116" s="32" t="n">
        <f aca="false">SUMPRODUCT($C$89:$I$89,LEN(INDEX('Saisie programme'!$D$13:$J$477,413,0)))+SUMIFS('Vols additionnels'!$E$7:$E$66,'Vols additionnels'!$C$7:$C$66,"JNBRUN",'Vols additionnels'!$D$7:$D$66,"787",'Vols additionnels'!$B$7:$B$66,"&gt;="&amp;$J$89,'Vols additionnels'!$B$7:$B$66,"&lt;="&amp;$K$89)</f>
        <v>8</v>
      </c>
      <c r="N116" s="32" t="n">
        <f aca="false">SUMPRODUCT($C$90:$I$90,LEN(INDEX('Saisie programme'!$D$13:$J$477,452,0)))+SUMIFS('Vols additionnels'!$E$7:$E$66,'Vols additionnels'!$C$7:$C$66,"JNBRUN",'Vols additionnels'!$D$7:$D$66,"787",'Vols additionnels'!$B$7:$B$66,"&gt;="&amp;$J$90,'Vols additionnels'!$B$7:$B$66,"&lt;="&amp;$K$90)</f>
        <v>9</v>
      </c>
      <c r="O116" s="12" t="s">
        <v>49</v>
      </c>
      <c r="P116" s="12" t="s">
        <v>19</v>
      </c>
    </row>
    <row r="117" customFormat="false" ht="15" hidden="false" customHeight="false" outlineLevel="0" collapsed="false">
      <c r="B117" s="10" t="s">
        <v>124</v>
      </c>
      <c r="C117" s="32" t="n">
        <f aca="false">SUMPRODUCT($C$79:$I$79,LEN(INDEX('Saisie programme'!$D$13:$J$477,24,0)))+SUMIFS('Vols additionnels'!$E$7:$E$66,'Vols additionnels'!$C$7:$C$66,"JNBRUN",'Vols additionnels'!$D$7:$D$66,"A320",'Vols additionnels'!$B$7:$B$66,"&gt;="&amp;$J$79,'Vols additionnels'!$B$7:$B$66,"&lt;="&amp;$K$79)</f>
        <v>0</v>
      </c>
      <c r="D117" s="32" t="n">
        <f aca="false">SUMPRODUCT($C$80:$I$80,LEN(INDEX('Saisie programme'!$D$13:$J$477,63,0)))+SUMIFS('Vols additionnels'!$E$7:$E$66,'Vols additionnels'!$C$7:$C$66,"JNBRUN",'Vols additionnels'!$D$7:$D$66,"A320",'Vols additionnels'!$B$7:$B$66,"&gt;="&amp;$J$80,'Vols additionnels'!$B$7:$B$66,"&lt;="&amp;$K$80)</f>
        <v>0</v>
      </c>
      <c r="E117" s="32" t="n">
        <f aca="false">SUMPRODUCT($C$81:$I$81,LEN(INDEX('Saisie programme'!$D$13:$J$477,102,0)))+SUMIFS('Vols additionnels'!$E$7:$E$66,'Vols additionnels'!$C$7:$C$66,"JNBRUN",'Vols additionnels'!$D$7:$D$66,"A320",'Vols additionnels'!$B$7:$B$66,"&gt;="&amp;$J$81,'Vols additionnels'!$B$7:$B$66,"&lt;="&amp;$K$81)</f>
        <v>0</v>
      </c>
      <c r="F117" s="32" t="n">
        <f aca="false">SUMPRODUCT($C$82:$I$82,LEN(INDEX('Saisie programme'!$D$13:$J$477,141,0)))+SUMIFS('Vols additionnels'!$E$7:$E$66,'Vols additionnels'!$C$7:$C$66,"JNBRUN",'Vols additionnels'!$D$7:$D$66,"A320",'Vols additionnels'!$B$7:$B$66,"&gt;="&amp;$J$82,'Vols additionnels'!$B$7:$B$66,"&lt;="&amp;$K$82)</f>
        <v>0</v>
      </c>
      <c r="G117" s="32" t="n">
        <f aca="false">SUMPRODUCT($C$83:$I$83,LEN(INDEX('Saisie programme'!$D$13:$J$477,180,0)))+SUMIFS('Vols additionnels'!$E$7:$E$66,'Vols additionnels'!$C$7:$C$66,"JNBRUN",'Vols additionnels'!$D$7:$D$66,"A320",'Vols additionnels'!$B$7:$B$66,"&gt;="&amp;$J$83,'Vols additionnels'!$B$7:$B$66,"&lt;="&amp;$K$83)</f>
        <v>0</v>
      </c>
      <c r="H117" s="32" t="n">
        <f aca="false">SUMPRODUCT($C$84:$I$84,LEN(INDEX('Saisie programme'!$D$13:$J$477,219,0)))+SUMIFS('Vols additionnels'!$E$7:$E$66,'Vols additionnels'!$C$7:$C$66,"JNBRUN",'Vols additionnels'!$D$7:$D$66,"A320",'Vols additionnels'!$B$7:$B$66,"&gt;="&amp;$J$84,'Vols additionnels'!$B$7:$B$66,"&lt;="&amp;$K$84)</f>
        <v>0</v>
      </c>
      <c r="I117" s="32" t="n">
        <f aca="false">SUMPRODUCT($C$85:$I$85,LEN(INDEX('Saisie programme'!$D$13:$J$477,258,0)))+SUMIFS('Vols additionnels'!$E$7:$E$66,'Vols additionnels'!$C$7:$C$66,"JNBRUN",'Vols additionnels'!$D$7:$D$66,"A320",'Vols additionnels'!$B$7:$B$66,"&gt;="&amp;$J$85,'Vols additionnels'!$B$7:$B$66,"&lt;="&amp;$K$85)</f>
        <v>0</v>
      </c>
      <c r="J117" s="32" t="n">
        <f aca="false">SUMPRODUCT($C$86:$I$86,LEN(INDEX('Saisie programme'!$D$13:$J$477,297,0)))+SUMIFS('Vols additionnels'!$E$7:$E$66,'Vols additionnels'!$C$7:$C$66,"JNBRUN",'Vols additionnels'!$D$7:$D$66,"A320",'Vols additionnels'!$B$7:$B$66,"&gt;="&amp;$J$86,'Vols additionnels'!$B$7:$B$66,"&lt;="&amp;$K$86)</f>
        <v>0</v>
      </c>
      <c r="K117" s="32" t="n">
        <f aca="false">SUMPRODUCT($C$87:$I$87,LEN(INDEX('Saisie programme'!$D$13:$J$477,336,0)))+SUMIFS('Vols additionnels'!$E$7:$E$66,'Vols additionnels'!$C$7:$C$66,"JNBRUN",'Vols additionnels'!$D$7:$D$66,"A320",'Vols additionnels'!$B$7:$B$66,"&gt;="&amp;$J$87,'Vols additionnels'!$B$7:$B$66,"&lt;="&amp;$K$87)</f>
        <v>0</v>
      </c>
      <c r="L117" s="32" t="n">
        <f aca="false">SUMPRODUCT($C$88:$I$88,LEN(INDEX('Saisie programme'!$D$13:$J$477,375,0)))+SUMIFS('Vols additionnels'!$E$7:$E$66,'Vols additionnels'!$C$7:$C$66,"JNBRUN",'Vols additionnels'!$D$7:$D$66,"A320",'Vols additionnels'!$B$7:$B$66,"&gt;="&amp;$J$88,'Vols additionnels'!$B$7:$B$66,"&lt;="&amp;$K$88)</f>
        <v>0</v>
      </c>
      <c r="M117" s="32" t="n">
        <f aca="false">SUMPRODUCT($C$89:$I$89,LEN(INDEX('Saisie programme'!$D$13:$J$477,414,0)))+SUMIFS('Vols additionnels'!$E$7:$E$66,'Vols additionnels'!$C$7:$C$66,"JNBRUN",'Vols additionnels'!$D$7:$D$66,"A320",'Vols additionnels'!$B$7:$B$66,"&gt;="&amp;$J$89,'Vols additionnels'!$B$7:$B$66,"&lt;="&amp;$K$89)</f>
        <v>0</v>
      </c>
      <c r="N117" s="32" t="n">
        <f aca="false">SUMPRODUCT($C$90:$I$90,LEN(INDEX('Saisie programme'!$D$13:$J$477,453,0)))+SUMIFS('Vols additionnels'!$E$7:$E$66,'Vols additionnels'!$C$7:$C$66,"JNBRUN",'Vols additionnels'!$D$7:$D$66,"A320",'Vols additionnels'!$B$7:$B$66,"&gt;="&amp;$J$90,'Vols additionnels'!$B$7:$B$66,"&lt;="&amp;$K$90)</f>
        <v>0</v>
      </c>
      <c r="O117" s="12" t="s">
        <v>49</v>
      </c>
      <c r="P117" s="12" t="s">
        <v>24</v>
      </c>
    </row>
    <row r="118" customFormat="false" ht="15" hidden="false" customHeight="false" outlineLevel="0" collapsed="false">
      <c r="B118" s="10" t="s">
        <v>125</v>
      </c>
      <c r="C118" s="32" t="n">
        <f aca="false">SUMPRODUCT($C$79:$I$79,LEN(INDEX('Saisie programme'!$D$13:$J$477,25,0)))+SUMIFS('Vols additionnels'!$E$7:$E$66,'Vols additionnels'!$C$7:$C$66,"CPTRUN",'Vols additionnels'!$D$7:$D$66,"77W",'Vols additionnels'!$B$7:$B$66,"&gt;="&amp;$J$79,'Vols additionnels'!$B$7:$B$66,"&lt;="&amp;$K$79)</f>
        <v>0</v>
      </c>
      <c r="D118" s="32" t="n">
        <f aca="false">SUMPRODUCT($C$80:$I$80,LEN(INDEX('Saisie programme'!$D$13:$J$477,64,0)))+SUMIFS('Vols additionnels'!$E$7:$E$66,'Vols additionnels'!$C$7:$C$66,"CPTRUN",'Vols additionnels'!$D$7:$D$66,"77W",'Vols additionnels'!$B$7:$B$66,"&gt;="&amp;$J$80,'Vols additionnels'!$B$7:$B$66,"&lt;="&amp;$K$80)</f>
        <v>0</v>
      </c>
      <c r="E118" s="32" t="n">
        <f aca="false">SUMPRODUCT($C$81:$I$81,LEN(INDEX('Saisie programme'!$D$13:$J$477,103,0)))+SUMIFS('Vols additionnels'!$E$7:$E$66,'Vols additionnels'!$C$7:$C$66,"CPTRUN",'Vols additionnels'!$D$7:$D$66,"77W",'Vols additionnels'!$B$7:$B$66,"&gt;="&amp;$J$81,'Vols additionnels'!$B$7:$B$66,"&lt;="&amp;$K$81)</f>
        <v>0</v>
      </c>
      <c r="F118" s="32" t="n">
        <f aca="false">SUMPRODUCT($C$82:$I$82,LEN(INDEX('Saisie programme'!$D$13:$J$477,142,0)))+SUMIFS('Vols additionnels'!$E$7:$E$66,'Vols additionnels'!$C$7:$C$66,"CPTRUN",'Vols additionnels'!$D$7:$D$66,"77W",'Vols additionnels'!$B$7:$B$66,"&gt;="&amp;$J$82,'Vols additionnels'!$B$7:$B$66,"&lt;="&amp;$K$82)</f>
        <v>0</v>
      </c>
      <c r="G118" s="32" t="n">
        <f aca="false">SUMPRODUCT($C$83:$I$83,LEN(INDEX('Saisie programme'!$D$13:$J$477,181,0)))+SUMIFS('Vols additionnels'!$E$7:$E$66,'Vols additionnels'!$C$7:$C$66,"CPTRUN",'Vols additionnels'!$D$7:$D$66,"77W",'Vols additionnels'!$B$7:$B$66,"&gt;="&amp;$J$83,'Vols additionnels'!$B$7:$B$66,"&lt;="&amp;$K$83)</f>
        <v>0</v>
      </c>
      <c r="H118" s="32" t="n">
        <f aca="false">SUMPRODUCT($C$84:$I$84,LEN(INDEX('Saisie programme'!$D$13:$J$477,220,0)))+SUMIFS('Vols additionnels'!$E$7:$E$66,'Vols additionnels'!$C$7:$C$66,"CPTRUN",'Vols additionnels'!$D$7:$D$66,"77W",'Vols additionnels'!$B$7:$B$66,"&gt;="&amp;$J$84,'Vols additionnels'!$B$7:$B$66,"&lt;="&amp;$K$84)</f>
        <v>0</v>
      </c>
      <c r="I118" s="32" t="n">
        <f aca="false">SUMPRODUCT($C$85:$I$85,LEN(INDEX('Saisie programme'!$D$13:$J$477,259,0)))+SUMIFS('Vols additionnels'!$E$7:$E$66,'Vols additionnels'!$C$7:$C$66,"CPTRUN",'Vols additionnels'!$D$7:$D$66,"77W",'Vols additionnels'!$B$7:$B$66,"&gt;="&amp;$J$85,'Vols additionnels'!$B$7:$B$66,"&lt;="&amp;$K$85)</f>
        <v>0</v>
      </c>
      <c r="J118" s="32" t="n">
        <f aca="false">SUMPRODUCT($C$86:$I$86,LEN(INDEX('Saisie programme'!$D$13:$J$477,298,0)))+SUMIFS('Vols additionnels'!$E$7:$E$66,'Vols additionnels'!$C$7:$C$66,"CPTRUN",'Vols additionnels'!$D$7:$D$66,"77W",'Vols additionnels'!$B$7:$B$66,"&gt;="&amp;$J$86,'Vols additionnels'!$B$7:$B$66,"&lt;="&amp;$K$86)</f>
        <v>0</v>
      </c>
      <c r="K118" s="32" t="n">
        <f aca="false">SUMPRODUCT($C$87:$I$87,LEN(INDEX('Saisie programme'!$D$13:$J$477,337,0)))+SUMIFS('Vols additionnels'!$E$7:$E$66,'Vols additionnels'!$C$7:$C$66,"CPTRUN",'Vols additionnels'!$D$7:$D$66,"77W",'Vols additionnels'!$B$7:$B$66,"&gt;="&amp;$J$87,'Vols additionnels'!$B$7:$B$66,"&lt;="&amp;$K$87)</f>
        <v>0</v>
      </c>
      <c r="L118" s="32" t="n">
        <f aca="false">SUMPRODUCT($C$88:$I$88,LEN(INDEX('Saisie programme'!$D$13:$J$477,376,0)))+SUMIFS('Vols additionnels'!$E$7:$E$66,'Vols additionnels'!$C$7:$C$66,"CPTRUN",'Vols additionnels'!$D$7:$D$66,"77W",'Vols additionnels'!$B$7:$B$66,"&gt;="&amp;$J$88,'Vols additionnels'!$B$7:$B$66,"&lt;="&amp;$K$88)</f>
        <v>0</v>
      </c>
      <c r="M118" s="32" t="n">
        <f aca="false">SUMPRODUCT($C$89:$I$89,LEN(INDEX('Saisie programme'!$D$13:$J$477,415,0)))+SUMIFS('Vols additionnels'!$E$7:$E$66,'Vols additionnels'!$C$7:$C$66,"CPTRUN",'Vols additionnels'!$D$7:$D$66,"77W",'Vols additionnels'!$B$7:$B$66,"&gt;="&amp;$J$89,'Vols additionnels'!$B$7:$B$66,"&lt;="&amp;$K$89)</f>
        <v>0</v>
      </c>
      <c r="N118" s="32" t="n">
        <f aca="false">SUMPRODUCT($C$90:$I$90,LEN(INDEX('Saisie programme'!$D$13:$J$477,454,0)))+SUMIFS('Vols additionnels'!$E$7:$E$66,'Vols additionnels'!$C$7:$C$66,"CPTRUN",'Vols additionnels'!$D$7:$D$66,"77W",'Vols additionnels'!$B$7:$B$66,"&gt;="&amp;$J$90,'Vols additionnels'!$B$7:$B$66,"&lt;="&amp;$K$90)</f>
        <v>0</v>
      </c>
      <c r="O118" s="12" t="s">
        <v>53</v>
      </c>
      <c r="P118" s="12" t="s">
        <v>11</v>
      </c>
    </row>
    <row r="119" customFormat="false" ht="15" hidden="false" customHeight="false" outlineLevel="0" collapsed="false">
      <c r="B119" s="10" t="s">
        <v>126</v>
      </c>
      <c r="C119" s="32" t="n">
        <f aca="false">SUMPRODUCT($C$79:$I$79,LEN(INDEX('Saisie programme'!$D$13:$J$477,26,0)))+SUMIFS('Vols additionnels'!$E$7:$E$66,'Vols additionnels'!$C$7:$C$66,"CPTRUN",'Vols additionnels'!$D$7:$D$66,"787",'Vols additionnels'!$B$7:$B$66,"&gt;="&amp;$J$79,'Vols additionnels'!$B$7:$B$66,"&lt;="&amp;$K$79)</f>
        <v>5</v>
      </c>
      <c r="D119" s="32" t="n">
        <f aca="false">SUMPRODUCT($C$80:$I$80,LEN(INDEX('Saisie programme'!$D$13:$J$477,65,0)))+SUMIFS('Vols additionnels'!$E$7:$E$66,'Vols additionnels'!$C$7:$C$66,"CPTRUN",'Vols additionnels'!$D$7:$D$66,"787",'Vols additionnels'!$B$7:$B$66,"&gt;="&amp;$J$80,'Vols additionnels'!$B$7:$B$66,"&lt;="&amp;$K$80)</f>
        <v>4</v>
      </c>
      <c r="E119" s="32" t="n">
        <f aca="false">SUMPRODUCT($C$81:$I$81,LEN(INDEX('Saisie programme'!$D$13:$J$477,104,0)))+SUMIFS('Vols additionnels'!$E$7:$E$66,'Vols additionnels'!$C$7:$C$66,"CPTRUN",'Vols additionnels'!$D$7:$D$66,"787",'Vols additionnels'!$B$7:$B$66,"&gt;="&amp;$J$81,'Vols additionnels'!$B$7:$B$66,"&lt;="&amp;$K$81)</f>
        <v>4</v>
      </c>
      <c r="F119" s="32" t="n">
        <f aca="false">SUMPRODUCT($C$82:$I$82,LEN(INDEX('Saisie programme'!$D$13:$J$477,143,0)))+SUMIFS('Vols additionnels'!$E$7:$E$66,'Vols additionnels'!$C$7:$C$66,"CPTRUN",'Vols additionnels'!$D$7:$D$66,"787",'Vols additionnels'!$B$7:$B$66,"&gt;="&amp;$J$82,'Vols additionnels'!$B$7:$B$66,"&lt;="&amp;$K$82)</f>
        <v>5</v>
      </c>
      <c r="G119" s="32" t="n">
        <f aca="false">SUMPRODUCT($C$83:$I$83,LEN(INDEX('Saisie programme'!$D$13:$J$477,182,0)))+SUMIFS('Vols additionnels'!$E$7:$E$66,'Vols additionnels'!$C$7:$C$66,"CPTRUN",'Vols additionnels'!$D$7:$D$66,"787",'Vols additionnels'!$B$7:$B$66,"&gt;="&amp;$J$83,'Vols additionnels'!$B$7:$B$66,"&lt;="&amp;$K$83)</f>
        <v>4</v>
      </c>
      <c r="H119" s="32" t="n">
        <f aca="false">SUMPRODUCT($C$84:$I$84,LEN(INDEX('Saisie programme'!$D$13:$J$477,221,0)))+SUMIFS('Vols additionnels'!$E$7:$E$66,'Vols additionnels'!$C$7:$C$66,"CPTRUN",'Vols additionnels'!$D$7:$D$66,"787",'Vols additionnels'!$B$7:$B$66,"&gt;="&amp;$J$84,'Vols additionnels'!$B$7:$B$66,"&lt;="&amp;$K$84)</f>
        <v>5</v>
      </c>
      <c r="I119" s="32" t="n">
        <f aca="false">SUMPRODUCT($C$85:$I$85,LEN(INDEX('Saisie programme'!$D$13:$J$477,260,0)))+SUMIFS('Vols additionnels'!$E$7:$E$66,'Vols additionnels'!$C$7:$C$66,"CPTRUN",'Vols additionnels'!$D$7:$D$66,"787",'Vols additionnels'!$B$7:$B$66,"&gt;="&amp;$J$85,'Vols additionnels'!$B$7:$B$66,"&lt;="&amp;$K$85)</f>
        <v>4</v>
      </c>
      <c r="J119" s="32" t="n">
        <f aca="false">SUMPRODUCT($C$86:$I$86,LEN(INDEX('Saisie programme'!$D$13:$J$477,299,0)))+SUMIFS('Vols additionnels'!$E$7:$E$66,'Vols additionnels'!$C$7:$C$66,"CPTRUN",'Vols additionnels'!$D$7:$D$66,"787",'Vols additionnels'!$B$7:$B$66,"&gt;="&amp;$J$86,'Vols additionnels'!$B$7:$B$66,"&lt;="&amp;$K$86)</f>
        <v>4</v>
      </c>
      <c r="K119" s="32" t="n">
        <f aca="false">SUMPRODUCT($C$87:$I$87,LEN(INDEX('Saisie programme'!$D$13:$J$477,338,0)))+SUMIFS('Vols additionnels'!$E$7:$E$66,'Vols additionnels'!$C$7:$C$66,"CPTRUN",'Vols additionnels'!$D$7:$D$66,"787",'Vols additionnels'!$B$7:$B$66,"&gt;="&amp;$J$87,'Vols additionnels'!$B$7:$B$66,"&lt;="&amp;$K$87)</f>
        <v>5</v>
      </c>
      <c r="L119" s="32" t="n">
        <f aca="false">SUMPRODUCT($C$88:$I$88,LEN(INDEX('Saisie programme'!$D$13:$J$477,377,0)))+SUMIFS('Vols additionnels'!$E$7:$E$66,'Vols additionnels'!$C$7:$C$66,"CPTRUN",'Vols additionnels'!$D$7:$D$66,"787",'Vols additionnels'!$B$7:$B$66,"&gt;="&amp;$J$88,'Vols additionnels'!$B$7:$B$66,"&lt;="&amp;$K$88)</f>
        <v>4</v>
      </c>
      <c r="M119" s="32" t="n">
        <f aca="false">SUMPRODUCT($C$89:$I$89,LEN(INDEX('Saisie programme'!$D$13:$J$477,416,0)))+SUMIFS('Vols additionnels'!$E$7:$E$66,'Vols additionnels'!$C$7:$C$66,"CPTRUN",'Vols additionnels'!$D$7:$D$66,"787",'Vols additionnels'!$B$7:$B$66,"&gt;="&amp;$J$89,'Vols additionnels'!$B$7:$B$66,"&lt;="&amp;$K$89)</f>
        <v>4</v>
      </c>
      <c r="N119" s="32" t="n">
        <f aca="false">SUMPRODUCT($C$90:$I$90,LEN(INDEX('Saisie programme'!$D$13:$J$477,455,0)))+SUMIFS('Vols additionnels'!$E$7:$E$66,'Vols additionnels'!$C$7:$C$66,"CPTRUN",'Vols additionnels'!$D$7:$D$66,"787",'Vols additionnels'!$B$7:$B$66,"&gt;="&amp;$J$90,'Vols additionnels'!$B$7:$B$66,"&lt;="&amp;$K$90)</f>
        <v>5</v>
      </c>
      <c r="O119" s="12" t="s">
        <v>53</v>
      </c>
      <c r="P119" s="12" t="s">
        <v>19</v>
      </c>
    </row>
    <row r="120" customFormat="false" ht="15" hidden="false" customHeight="false" outlineLevel="0" collapsed="false">
      <c r="B120" s="10" t="s">
        <v>127</v>
      </c>
      <c r="C120" s="32" t="n">
        <f aca="false">SUMPRODUCT($C$79:$I$79,LEN(INDEX('Saisie programme'!$D$13:$J$477,27,0)))+SUMIFS('Vols additionnels'!$E$7:$E$66,'Vols additionnels'!$C$7:$C$66,"CPTRUN",'Vols additionnels'!$D$7:$D$66,"A320",'Vols additionnels'!$B$7:$B$66,"&gt;="&amp;$J$79,'Vols additionnels'!$B$7:$B$66,"&lt;="&amp;$K$79)</f>
        <v>0</v>
      </c>
      <c r="D120" s="32" t="n">
        <f aca="false">SUMPRODUCT($C$80:$I$80,LEN(INDEX('Saisie programme'!$D$13:$J$477,66,0)))+SUMIFS('Vols additionnels'!$E$7:$E$66,'Vols additionnels'!$C$7:$C$66,"CPTRUN",'Vols additionnels'!$D$7:$D$66,"A320",'Vols additionnels'!$B$7:$B$66,"&gt;="&amp;$J$80,'Vols additionnels'!$B$7:$B$66,"&lt;="&amp;$K$80)</f>
        <v>0</v>
      </c>
      <c r="E120" s="32" t="n">
        <f aca="false">SUMPRODUCT($C$81:$I$81,LEN(INDEX('Saisie programme'!$D$13:$J$477,105,0)))+SUMIFS('Vols additionnels'!$E$7:$E$66,'Vols additionnels'!$C$7:$C$66,"CPTRUN",'Vols additionnels'!$D$7:$D$66,"A320",'Vols additionnels'!$B$7:$B$66,"&gt;="&amp;$J$81,'Vols additionnels'!$B$7:$B$66,"&lt;="&amp;$K$81)</f>
        <v>0</v>
      </c>
      <c r="F120" s="32" t="n">
        <f aca="false">SUMPRODUCT($C$82:$I$82,LEN(INDEX('Saisie programme'!$D$13:$J$477,144,0)))+SUMIFS('Vols additionnels'!$E$7:$E$66,'Vols additionnels'!$C$7:$C$66,"CPTRUN",'Vols additionnels'!$D$7:$D$66,"A320",'Vols additionnels'!$B$7:$B$66,"&gt;="&amp;$J$82,'Vols additionnels'!$B$7:$B$66,"&lt;="&amp;$K$82)</f>
        <v>0</v>
      </c>
      <c r="G120" s="32" t="n">
        <f aca="false">SUMPRODUCT($C$83:$I$83,LEN(INDEX('Saisie programme'!$D$13:$J$477,183,0)))+SUMIFS('Vols additionnels'!$E$7:$E$66,'Vols additionnels'!$C$7:$C$66,"CPTRUN",'Vols additionnels'!$D$7:$D$66,"A320",'Vols additionnels'!$B$7:$B$66,"&gt;="&amp;$J$83,'Vols additionnels'!$B$7:$B$66,"&lt;="&amp;$K$83)</f>
        <v>0</v>
      </c>
      <c r="H120" s="32" t="n">
        <f aca="false">SUMPRODUCT($C$84:$I$84,LEN(INDEX('Saisie programme'!$D$13:$J$477,222,0)))+SUMIFS('Vols additionnels'!$E$7:$E$66,'Vols additionnels'!$C$7:$C$66,"CPTRUN",'Vols additionnels'!$D$7:$D$66,"A320",'Vols additionnels'!$B$7:$B$66,"&gt;="&amp;$J$84,'Vols additionnels'!$B$7:$B$66,"&lt;="&amp;$K$84)</f>
        <v>0</v>
      </c>
      <c r="I120" s="32" t="n">
        <f aca="false">SUMPRODUCT($C$85:$I$85,LEN(INDEX('Saisie programme'!$D$13:$J$477,261,0)))+SUMIFS('Vols additionnels'!$E$7:$E$66,'Vols additionnels'!$C$7:$C$66,"CPTRUN",'Vols additionnels'!$D$7:$D$66,"A320",'Vols additionnels'!$B$7:$B$66,"&gt;="&amp;$J$85,'Vols additionnels'!$B$7:$B$66,"&lt;="&amp;$K$85)</f>
        <v>0</v>
      </c>
      <c r="J120" s="32" t="n">
        <f aca="false">SUMPRODUCT($C$86:$I$86,LEN(INDEX('Saisie programme'!$D$13:$J$477,300,0)))+SUMIFS('Vols additionnels'!$E$7:$E$66,'Vols additionnels'!$C$7:$C$66,"CPTRUN",'Vols additionnels'!$D$7:$D$66,"A320",'Vols additionnels'!$B$7:$B$66,"&gt;="&amp;$J$86,'Vols additionnels'!$B$7:$B$66,"&lt;="&amp;$K$86)</f>
        <v>0</v>
      </c>
      <c r="K120" s="32" t="n">
        <f aca="false">SUMPRODUCT($C$87:$I$87,LEN(INDEX('Saisie programme'!$D$13:$J$477,339,0)))+SUMIFS('Vols additionnels'!$E$7:$E$66,'Vols additionnels'!$C$7:$C$66,"CPTRUN",'Vols additionnels'!$D$7:$D$66,"A320",'Vols additionnels'!$B$7:$B$66,"&gt;="&amp;$J$87,'Vols additionnels'!$B$7:$B$66,"&lt;="&amp;$K$87)</f>
        <v>0</v>
      </c>
      <c r="L120" s="32" t="n">
        <f aca="false">SUMPRODUCT($C$88:$I$88,LEN(INDEX('Saisie programme'!$D$13:$J$477,378,0)))+SUMIFS('Vols additionnels'!$E$7:$E$66,'Vols additionnels'!$C$7:$C$66,"CPTRUN",'Vols additionnels'!$D$7:$D$66,"A320",'Vols additionnels'!$B$7:$B$66,"&gt;="&amp;$J$88,'Vols additionnels'!$B$7:$B$66,"&lt;="&amp;$K$88)</f>
        <v>0</v>
      </c>
      <c r="M120" s="32" t="n">
        <f aca="false">SUMPRODUCT($C$89:$I$89,LEN(INDEX('Saisie programme'!$D$13:$J$477,417,0)))+SUMIFS('Vols additionnels'!$E$7:$E$66,'Vols additionnels'!$C$7:$C$66,"CPTRUN",'Vols additionnels'!$D$7:$D$66,"A320",'Vols additionnels'!$B$7:$B$66,"&gt;="&amp;$J$89,'Vols additionnels'!$B$7:$B$66,"&lt;="&amp;$K$89)</f>
        <v>0</v>
      </c>
      <c r="N120" s="32" t="n">
        <f aca="false">SUMPRODUCT($C$90:$I$90,LEN(INDEX('Saisie programme'!$D$13:$J$477,456,0)))+SUMIFS('Vols additionnels'!$E$7:$E$66,'Vols additionnels'!$C$7:$C$66,"CPTRUN",'Vols additionnels'!$D$7:$D$66,"A320",'Vols additionnels'!$B$7:$B$66,"&gt;="&amp;$J$90,'Vols additionnels'!$B$7:$B$66,"&lt;="&amp;$K$90)</f>
        <v>0</v>
      </c>
      <c r="O120" s="12" t="s">
        <v>53</v>
      </c>
      <c r="P120" s="12" t="s">
        <v>24</v>
      </c>
    </row>
    <row r="121" customFormat="false" ht="15" hidden="false" customHeight="false" outlineLevel="0" collapsed="false">
      <c r="B121" s="10" t="s">
        <v>128</v>
      </c>
      <c r="C121" s="32" t="n">
        <f aca="false">SUMPRODUCT($C$79:$I$79,LEN(INDEX('Saisie programme'!$D$13:$J$477,28,0)))+SUMIFS('Vols additionnels'!$E$7:$E$66,'Vols additionnels'!$C$7:$C$66,"DIERUN",'Vols additionnels'!$D$7:$D$66,"77W",'Vols additionnels'!$B$7:$B$66,"&gt;="&amp;$J$79,'Vols additionnels'!$B$7:$B$66,"&lt;="&amp;$K$79)</f>
        <v>0</v>
      </c>
      <c r="D121" s="32" t="n">
        <f aca="false">SUMPRODUCT($C$80:$I$80,LEN(INDEX('Saisie programme'!$D$13:$J$477,67,0)))+SUMIFS('Vols additionnels'!$E$7:$E$66,'Vols additionnels'!$C$7:$C$66,"DIERUN",'Vols additionnels'!$D$7:$D$66,"77W",'Vols additionnels'!$B$7:$B$66,"&gt;="&amp;$J$80,'Vols additionnels'!$B$7:$B$66,"&lt;="&amp;$K$80)</f>
        <v>0</v>
      </c>
      <c r="E121" s="32" t="n">
        <f aca="false">SUMPRODUCT($C$81:$I$81,LEN(INDEX('Saisie programme'!$D$13:$J$477,106,0)))+SUMIFS('Vols additionnels'!$E$7:$E$66,'Vols additionnels'!$C$7:$C$66,"DIERUN",'Vols additionnels'!$D$7:$D$66,"77W",'Vols additionnels'!$B$7:$B$66,"&gt;="&amp;$J$81,'Vols additionnels'!$B$7:$B$66,"&lt;="&amp;$K$81)</f>
        <v>0</v>
      </c>
      <c r="F121" s="32" t="n">
        <f aca="false">SUMPRODUCT($C$82:$I$82,LEN(INDEX('Saisie programme'!$D$13:$J$477,145,0)))+SUMIFS('Vols additionnels'!$E$7:$E$66,'Vols additionnels'!$C$7:$C$66,"DIERUN",'Vols additionnels'!$D$7:$D$66,"77W",'Vols additionnels'!$B$7:$B$66,"&gt;="&amp;$J$82,'Vols additionnels'!$B$7:$B$66,"&lt;="&amp;$K$82)</f>
        <v>0</v>
      </c>
      <c r="G121" s="32" t="n">
        <f aca="false">SUMPRODUCT($C$83:$I$83,LEN(INDEX('Saisie programme'!$D$13:$J$477,184,0)))+SUMIFS('Vols additionnels'!$E$7:$E$66,'Vols additionnels'!$C$7:$C$66,"DIERUN",'Vols additionnels'!$D$7:$D$66,"77W",'Vols additionnels'!$B$7:$B$66,"&gt;="&amp;$J$83,'Vols additionnels'!$B$7:$B$66,"&lt;="&amp;$K$83)</f>
        <v>0</v>
      </c>
      <c r="H121" s="32" t="n">
        <f aca="false">SUMPRODUCT($C$84:$I$84,LEN(INDEX('Saisie programme'!$D$13:$J$477,223,0)))+SUMIFS('Vols additionnels'!$E$7:$E$66,'Vols additionnels'!$C$7:$C$66,"DIERUN",'Vols additionnels'!$D$7:$D$66,"77W",'Vols additionnels'!$B$7:$B$66,"&gt;="&amp;$J$84,'Vols additionnels'!$B$7:$B$66,"&lt;="&amp;$K$84)</f>
        <v>0</v>
      </c>
      <c r="I121" s="32" t="n">
        <f aca="false">SUMPRODUCT($C$85:$I$85,LEN(INDEX('Saisie programme'!$D$13:$J$477,262,0)))+SUMIFS('Vols additionnels'!$E$7:$E$66,'Vols additionnels'!$C$7:$C$66,"DIERUN",'Vols additionnels'!$D$7:$D$66,"77W",'Vols additionnels'!$B$7:$B$66,"&gt;="&amp;$J$85,'Vols additionnels'!$B$7:$B$66,"&lt;="&amp;$K$85)</f>
        <v>0</v>
      </c>
      <c r="J121" s="32" t="n">
        <f aca="false">SUMPRODUCT($C$86:$I$86,LEN(INDEX('Saisie programme'!$D$13:$J$477,301,0)))+SUMIFS('Vols additionnels'!$E$7:$E$66,'Vols additionnels'!$C$7:$C$66,"DIERUN",'Vols additionnels'!$D$7:$D$66,"77W",'Vols additionnels'!$B$7:$B$66,"&gt;="&amp;$J$86,'Vols additionnels'!$B$7:$B$66,"&lt;="&amp;$K$86)</f>
        <v>0</v>
      </c>
      <c r="K121" s="32" t="n">
        <f aca="false">SUMPRODUCT($C$87:$I$87,LEN(INDEX('Saisie programme'!$D$13:$J$477,340,0)))+SUMIFS('Vols additionnels'!$E$7:$E$66,'Vols additionnels'!$C$7:$C$66,"DIERUN",'Vols additionnels'!$D$7:$D$66,"77W",'Vols additionnels'!$B$7:$B$66,"&gt;="&amp;$J$87,'Vols additionnels'!$B$7:$B$66,"&lt;="&amp;$K$87)</f>
        <v>0</v>
      </c>
      <c r="L121" s="32" t="n">
        <f aca="false">SUMPRODUCT($C$88:$I$88,LEN(INDEX('Saisie programme'!$D$13:$J$477,379,0)))+SUMIFS('Vols additionnels'!$E$7:$E$66,'Vols additionnels'!$C$7:$C$66,"DIERUN",'Vols additionnels'!$D$7:$D$66,"77W",'Vols additionnels'!$B$7:$B$66,"&gt;="&amp;$J$88,'Vols additionnels'!$B$7:$B$66,"&lt;="&amp;$K$88)</f>
        <v>0</v>
      </c>
      <c r="M121" s="32" t="n">
        <f aca="false">SUMPRODUCT($C$89:$I$89,LEN(INDEX('Saisie programme'!$D$13:$J$477,418,0)))+SUMIFS('Vols additionnels'!$E$7:$E$66,'Vols additionnels'!$C$7:$C$66,"DIERUN",'Vols additionnels'!$D$7:$D$66,"77W",'Vols additionnels'!$B$7:$B$66,"&gt;="&amp;$J$89,'Vols additionnels'!$B$7:$B$66,"&lt;="&amp;$K$89)</f>
        <v>0</v>
      </c>
      <c r="N121" s="32" t="n">
        <f aca="false">SUMPRODUCT($C$90:$I$90,LEN(INDEX('Saisie programme'!$D$13:$J$477,457,0)))+SUMIFS('Vols additionnels'!$E$7:$E$66,'Vols additionnels'!$C$7:$C$66,"DIERUN",'Vols additionnels'!$D$7:$D$66,"77W",'Vols additionnels'!$B$7:$B$66,"&gt;="&amp;$J$90,'Vols additionnels'!$B$7:$B$66,"&lt;="&amp;$K$90)</f>
        <v>0</v>
      </c>
      <c r="O121" s="12" t="s">
        <v>56</v>
      </c>
      <c r="P121" s="12" t="s">
        <v>11</v>
      </c>
    </row>
    <row r="122" customFormat="false" ht="15" hidden="false" customHeight="false" outlineLevel="0" collapsed="false">
      <c r="B122" s="10" t="s">
        <v>129</v>
      </c>
      <c r="C122" s="32" t="n">
        <f aca="false">SUMPRODUCT($C$79:$I$79,LEN(INDEX('Saisie programme'!$D$13:$J$477,29,0)))+SUMIFS('Vols additionnels'!$E$7:$E$66,'Vols additionnels'!$C$7:$C$66,"DIERUN",'Vols additionnels'!$D$7:$D$66,"787",'Vols additionnels'!$B$7:$B$66,"&gt;="&amp;$J$79,'Vols additionnels'!$B$7:$B$66,"&lt;="&amp;$K$79)</f>
        <v>0</v>
      </c>
      <c r="D122" s="32" t="n">
        <f aca="false">SUMPRODUCT($C$80:$I$80,LEN(INDEX('Saisie programme'!$D$13:$J$477,68,0)))+SUMIFS('Vols additionnels'!$E$7:$E$66,'Vols additionnels'!$C$7:$C$66,"DIERUN",'Vols additionnels'!$D$7:$D$66,"787",'Vols additionnels'!$B$7:$B$66,"&gt;="&amp;$J$80,'Vols additionnels'!$B$7:$B$66,"&lt;="&amp;$K$80)</f>
        <v>0</v>
      </c>
      <c r="E122" s="32" t="n">
        <f aca="false">SUMPRODUCT($C$81:$I$81,LEN(INDEX('Saisie programme'!$D$13:$J$477,107,0)))+SUMIFS('Vols additionnels'!$E$7:$E$66,'Vols additionnels'!$C$7:$C$66,"DIERUN",'Vols additionnels'!$D$7:$D$66,"787",'Vols additionnels'!$B$7:$B$66,"&gt;="&amp;$J$81,'Vols additionnels'!$B$7:$B$66,"&lt;="&amp;$K$81)</f>
        <v>0</v>
      </c>
      <c r="F122" s="32" t="n">
        <f aca="false">SUMPRODUCT($C$82:$I$82,LEN(INDEX('Saisie programme'!$D$13:$J$477,146,0)))+SUMIFS('Vols additionnels'!$E$7:$E$66,'Vols additionnels'!$C$7:$C$66,"DIERUN",'Vols additionnels'!$D$7:$D$66,"787",'Vols additionnels'!$B$7:$B$66,"&gt;="&amp;$J$82,'Vols additionnels'!$B$7:$B$66,"&lt;="&amp;$K$82)</f>
        <v>0</v>
      </c>
      <c r="G122" s="32" t="n">
        <f aca="false">SUMPRODUCT($C$83:$I$83,LEN(INDEX('Saisie programme'!$D$13:$J$477,185,0)))+SUMIFS('Vols additionnels'!$E$7:$E$66,'Vols additionnels'!$C$7:$C$66,"DIERUN",'Vols additionnels'!$D$7:$D$66,"787",'Vols additionnels'!$B$7:$B$66,"&gt;="&amp;$J$83,'Vols additionnels'!$B$7:$B$66,"&lt;="&amp;$K$83)</f>
        <v>0</v>
      </c>
      <c r="H122" s="32" t="n">
        <f aca="false">SUMPRODUCT($C$84:$I$84,LEN(INDEX('Saisie programme'!$D$13:$J$477,224,0)))+SUMIFS('Vols additionnels'!$E$7:$E$66,'Vols additionnels'!$C$7:$C$66,"DIERUN",'Vols additionnels'!$D$7:$D$66,"787",'Vols additionnels'!$B$7:$B$66,"&gt;="&amp;$J$84,'Vols additionnels'!$B$7:$B$66,"&lt;="&amp;$K$84)</f>
        <v>0</v>
      </c>
      <c r="I122" s="32" t="n">
        <f aca="false">SUMPRODUCT($C$85:$I$85,LEN(INDEX('Saisie programme'!$D$13:$J$477,263,0)))+SUMIFS('Vols additionnels'!$E$7:$E$66,'Vols additionnels'!$C$7:$C$66,"DIERUN",'Vols additionnels'!$D$7:$D$66,"787",'Vols additionnels'!$B$7:$B$66,"&gt;="&amp;$J$85,'Vols additionnels'!$B$7:$B$66,"&lt;="&amp;$K$85)</f>
        <v>0</v>
      </c>
      <c r="J122" s="32" t="n">
        <f aca="false">SUMPRODUCT($C$86:$I$86,LEN(INDEX('Saisie programme'!$D$13:$J$477,302,0)))+SUMIFS('Vols additionnels'!$E$7:$E$66,'Vols additionnels'!$C$7:$C$66,"DIERUN",'Vols additionnels'!$D$7:$D$66,"787",'Vols additionnels'!$B$7:$B$66,"&gt;="&amp;$J$86,'Vols additionnels'!$B$7:$B$66,"&lt;="&amp;$K$86)</f>
        <v>0</v>
      </c>
      <c r="K122" s="32" t="n">
        <f aca="false">SUMPRODUCT($C$87:$I$87,LEN(INDEX('Saisie programme'!$D$13:$J$477,341,0)))+SUMIFS('Vols additionnels'!$E$7:$E$66,'Vols additionnels'!$C$7:$C$66,"DIERUN",'Vols additionnels'!$D$7:$D$66,"787",'Vols additionnels'!$B$7:$B$66,"&gt;="&amp;$J$87,'Vols additionnels'!$B$7:$B$66,"&lt;="&amp;$K$87)</f>
        <v>0</v>
      </c>
      <c r="L122" s="32" t="n">
        <f aca="false">SUMPRODUCT($C$88:$I$88,LEN(INDEX('Saisie programme'!$D$13:$J$477,380,0)))+SUMIFS('Vols additionnels'!$E$7:$E$66,'Vols additionnels'!$C$7:$C$66,"DIERUN",'Vols additionnels'!$D$7:$D$66,"787",'Vols additionnels'!$B$7:$B$66,"&gt;="&amp;$J$88,'Vols additionnels'!$B$7:$B$66,"&lt;="&amp;$K$88)</f>
        <v>0</v>
      </c>
      <c r="M122" s="32" t="n">
        <f aca="false">SUMPRODUCT($C$89:$I$89,LEN(INDEX('Saisie programme'!$D$13:$J$477,419,0)))+SUMIFS('Vols additionnels'!$E$7:$E$66,'Vols additionnels'!$C$7:$C$66,"DIERUN",'Vols additionnels'!$D$7:$D$66,"787",'Vols additionnels'!$B$7:$B$66,"&gt;="&amp;$J$89,'Vols additionnels'!$B$7:$B$66,"&lt;="&amp;$K$89)</f>
        <v>0</v>
      </c>
      <c r="N122" s="32" t="n">
        <f aca="false">SUMPRODUCT($C$90:$I$90,LEN(INDEX('Saisie programme'!$D$13:$J$477,458,0)))+SUMIFS('Vols additionnels'!$E$7:$E$66,'Vols additionnels'!$C$7:$C$66,"DIERUN",'Vols additionnels'!$D$7:$D$66,"787",'Vols additionnels'!$B$7:$B$66,"&gt;="&amp;$J$90,'Vols additionnels'!$B$7:$B$66,"&lt;="&amp;$K$90)</f>
        <v>0</v>
      </c>
      <c r="O122" s="12" t="s">
        <v>56</v>
      </c>
      <c r="P122" s="12" t="s">
        <v>19</v>
      </c>
    </row>
    <row r="123" customFormat="false" ht="15" hidden="false" customHeight="false" outlineLevel="0" collapsed="false">
      <c r="B123" s="10" t="s">
        <v>130</v>
      </c>
      <c r="C123" s="32" t="n">
        <f aca="false">SUMPRODUCT($C$79:$I$79,LEN(INDEX('Saisie programme'!$D$13:$J$477,30,0)))+SUMIFS('Vols additionnels'!$E$7:$E$66,'Vols additionnels'!$C$7:$C$66,"DIERUN",'Vols additionnels'!$D$7:$D$66,"A320",'Vols additionnels'!$B$7:$B$66,"&gt;="&amp;$J$79,'Vols additionnels'!$B$7:$B$66,"&lt;="&amp;$K$79)</f>
        <v>8</v>
      </c>
      <c r="D123" s="32" t="n">
        <f aca="false">SUMPRODUCT($C$80:$I$80,LEN(INDEX('Saisie programme'!$D$13:$J$477,69,0)))+SUMIFS('Vols additionnels'!$E$7:$E$66,'Vols additionnels'!$C$7:$C$66,"DIERUN",'Vols additionnels'!$D$7:$D$66,"A320",'Vols additionnels'!$B$7:$B$66,"&gt;="&amp;$J$80,'Vols additionnels'!$B$7:$B$66,"&lt;="&amp;$K$80)</f>
        <v>9</v>
      </c>
      <c r="E123" s="32" t="n">
        <f aca="false">SUMPRODUCT($C$81:$I$81,LEN(INDEX('Saisie programme'!$D$13:$J$477,108,0)))+SUMIFS('Vols additionnels'!$E$7:$E$66,'Vols additionnels'!$C$7:$C$66,"DIERUN",'Vols additionnels'!$D$7:$D$66,"A320",'Vols additionnels'!$B$7:$B$66,"&gt;="&amp;$J$81,'Vols additionnels'!$B$7:$B$66,"&lt;="&amp;$K$81)</f>
        <v>9</v>
      </c>
      <c r="F123" s="32" t="n">
        <f aca="false">SUMPRODUCT($C$82:$I$82,LEN(INDEX('Saisie programme'!$D$13:$J$477,147,0)))+SUMIFS('Vols additionnels'!$E$7:$E$66,'Vols additionnels'!$C$7:$C$66,"DIERUN",'Vols additionnels'!$D$7:$D$66,"A320",'Vols additionnels'!$B$7:$B$66,"&gt;="&amp;$J$82,'Vols additionnels'!$B$7:$B$66,"&lt;="&amp;$K$82)</f>
        <v>9</v>
      </c>
      <c r="G123" s="32" t="n">
        <f aca="false">SUMPRODUCT($C$83:$I$83,LEN(INDEX('Saisie programme'!$D$13:$J$477,186,0)))+SUMIFS('Vols additionnels'!$E$7:$E$66,'Vols additionnels'!$C$7:$C$66,"DIERUN",'Vols additionnels'!$D$7:$D$66,"A320",'Vols additionnels'!$B$7:$B$66,"&gt;="&amp;$J$83,'Vols additionnels'!$B$7:$B$66,"&lt;="&amp;$K$83)</f>
        <v>9</v>
      </c>
      <c r="H123" s="32" t="n">
        <f aca="false">SUMPRODUCT($C$84:$I$84,LEN(INDEX('Saisie programme'!$D$13:$J$477,225,0)))+SUMIFS('Vols additionnels'!$E$7:$E$66,'Vols additionnels'!$C$7:$C$66,"DIERUN",'Vols additionnels'!$D$7:$D$66,"A320",'Vols additionnels'!$B$7:$B$66,"&gt;="&amp;$J$84,'Vols additionnels'!$B$7:$B$66,"&lt;="&amp;$K$84)</f>
        <v>8</v>
      </c>
      <c r="I123" s="32" t="n">
        <f aca="false">SUMPRODUCT($C$85:$I$85,LEN(INDEX('Saisie programme'!$D$13:$J$477,264,0)))+SUMIFS('Vols additionnels'!$E$7:$E$66,'Vols additionnels'!$C$7:$C$66,"DIERUN",'Vols additionnels'!$D$7:$D$66,"A320",'Vols additionnels'!$B$7:$B$66,"&gt;="&amp;$J$85,'Vols additionnels'!$B$7:$B$66,"&lt;="&amp;$K$85)</f>
        <v>9</v>
      </c>
      <c r="J123" s="32" t="n">
        <f aca="false">SUMPRODUCT($C$86:$I$86,LEN(INDEX('Saisie programme'!$D$13:$J$477,303,0)))+SUMIFS('Vols additionnels'!$E$7:$E$66,'Vols additionnels'!$C$7:$C$66,"DIERUN",'Vols additionnels'!$D$7:$D$66,"A320",'Vols additionnels'!$B$7:$B$66,"&gt;="&amp;$J$86,'Vols additionnels'!$B$7:$B$66,"&lt;="&amp;$K$86)</f>
        <v>9</v>
      </c>
      <c r="K123" s="32" t="n">
        <f aca="false">SUMPRODUCT($C$87:$I$87,LEN(INDEX('Saisie programme'!$D$13:$J$477,342,0)))+SUMIFS('Vols additionnels'!$E$7:$E$66,'Vols additionnels'!$C$7:$C$66,"DIERUN",'Vols additionnels'!$D$7:$D$66,"A320",'Vols additionnels'!$B$7:$B$66,"&gt;="&amp;$J$87,'Vols additionnels'!$B$7:$B$66,"&lt;="&amp;$K$87)</f>
        <v>8</v>
      </c>
      <c r="L123" s="32" t="n">
        <f aca="false">SUMPRODUCT($C$88:$I$88,LEN(INDEX('Saisie programme'!$D$13:$J$477,381,0)))+SUMIFS('Vols additionnels'!$E$7:$E$66,'Vols additionnels'!$C$7:$C$66,"DIERUN",'Vols additionnels'!$D$7:$D$66,"A320",'Vols additionnels'!$B$7:$B$66,"&gt;="&amp;$J$88,'Vols additionnels'!$B$7:$B$66,"&lt;="&amp;$K$88)</f>
        <v>9</v>
      </c>
      <c r="M123" s="32" t="n">
        <f aca="false">SUMPRODUCT($C$89:$I$89,LEN(INDEX('Saisie programme'!$D$13:$J$477,420,0)))+SUMIFS('Vols additionnels'!$E$7:$E$66,'Vols additionnels'!$C$7:$C$66,"DIERUN",'Vols additionnels'!$D$7:$D$66,"A320",'Vols additionnels'!$B$7:$B$66,"&gt;="&amp;$J$89,'Vols additionnels'!$B$7:$B$66,"&lt;="&amp;$K$89)</f>
        <v>9</v>
      </c>
      <c r="N123" s="32" t="n">
        <f aca="false">SUMPRODUCT($C$90:$I$90,LEN(INDEX('Saisie programme'!$D$13:$J$477,459,0)))+SUMIFS('Vols additionnels'!$E$7:$E$66,'Vols additionnels'!$C$7:$C$66,"DIERUN",'Vols additionnels'!$D$7:$D$66,"A320",'Vols additionnels'!$B$7:$B$66,"&gt;="&amp;$J$90,'Vols additionnels'!$B$7:$B$66,"&lt;="&amp;$K$90)</f>
        <v>8</v>
      </c>
      <c r="O123" s="12" t="s">
        <v>56</v>
      </c>
      <c r="P123" s="12" t="s">
        <v>24</v>
      </c>
    </row>
    <row r="124" customFormat="false" ht="15" hidden="false" customHeight="false" outlineLevel="0" collapsed="false">
      <c r="B124" s="10" t="s">
        <v>131</v>
      </c>
      <c r="C124" s="32" t="n">
        <f aca="false">SUMPRODUCT($C$79:$I$79,LEN(INDEX('Saisie programme'!$D$13:$J$477,31,0)))+SUMIFS('Vols additionnels'!$E$7:$E$66,'Vols additionnels'!$C$7:$C$66,"RRGRUN",'Vols additionnels'!$D$7:$D$66,"77W",'Vols additionnels'!$B$7:$B$66,"&gt;="&amp;$J$79,'Vols additionnels'!$B$7:$B$66,"&lt;="&amp;$K$79)</f>
        <v>0</v>
      </c>
      <c r="D124" s="32" t="n">
        <f aca="false">SUMPRODUCT($C$80:$I$80,LEN(INDEX('Saisie programme'!$D$13:$J$477,70,0)))+SUMIFS('Vols additionnels'!$E$7:$E$66,'Vols additionnels'!$C$7:$C$66,"RRGRUN",'Vols additionnels'!$D$7:$D$66,"77W",'Vols additionnels'!$B$7:$B$66,"&gt;="&amp;$J$80,'Vols additionnels'!$B$7:$B$66,"&lt;="&amp;$K$80)</f>
        <v>0</v>
      </c>
      <c r="E124" s="32" t="n">
        <f aca="false">SUMPRODUCT($C$81:$I$81,LEN(INDEX('Saisie programme'!$D$13:$J$477,109,0)))+SUMIFS('Vols additionnels'!$E$7:$E$66,'Vols additionnels'!$C$7:$C$66,"RRGRUN",'Vols additionnels'!$D$7:$D$66,"77W",'Vols additionnels'!$B$7:$B$66,"&gt;="&amp;$J$81,'Vols additionnels'!$B$7:$B$66,"&lt;="&amp;$K$81)</f>
        <v>0</v>
      </c>
      <c r="F124" s="32" t="n">
        <f aca="false">SUMPRODUCT($C$82:$I$82,LEN(INDEX('Saisie programme'!$D$13:$J$477,148,0)))+SUMIFS('Vols additionnels'!$E$7:$E$66,'Vols additionnels'!$C$7:$C$66,"RRGRUN",'Vols additionnels'!$D$7:$D$66,"77W",'Vols additionnels'!$B$7:$B$66,"&gt;="&amp;$J$82,'Vols additionnels'!$B$7:$B$66,"&lt;="&amp;$K$82)</f>
        <v>0</v>
      </c>
      <c r="G124" s="32" t="n">
        <f aca="false">SUMPRODUCT($C$83:$I$83,LEN(INDEX('Saisie programme'!$D$13:$J$477,187,0)))+SUMIFS('Vols additionnels'!$E$7:$E$66,'Vols additionnels'!$C$7:$C$66,"RRGRUN",'Vols additionnels'!$D$7:$D$66,"77W",'Vols additionnels'!$B$7:$B$66,"&gt;="&amp;$J$83,'Vols additionnels'!$B$7:$B$66,"&lt;="&amp;$K$83)</f>
        <v>0</v>
      </c>
      <c r="H124" s="32" t="n">
        <f aca="false">SUMPRODUCT($C$84:$I$84,LEN(INDEX('Saisie programme'!$D$13:$J$477,226,0)))+SUMIFS('Vols additionnels'!$E$7:$E$66,'Vols additionnels'!$C$7:$C$66,"RRGRUN",'Vols additionnels'!$D$7:$D$66,"77W",'Vols additionnels'!$B$7:$B$66,"&gt;="&amp;$J$84,'Vols additionnels'!$B$7:$B$66,"&lt;="&amp;$K$84)</f>
        <v>0</v>
      </c>
      <c r="I124" s="32" t="n">
        <f aca="false">SUMPRODUCT($C$85:$I$85,LEN(INDEX('Saisie programme'!$D$13:$J$477,265,0)))+SUMIFS('Vols additionnels'!$E$7:$E$66,'Vols additionnels'!$C$7:$C$66,"RRGRUN",'Vols additionnels'!$D$7:$D$66,"77W",'Vols additionnels'!$B$7:$B$66,"&gt;="&amp;$J$85,'Vols additionnels'!$B$7:$B$66,"&lt;="&amp;$K$85)</f>
        <v>0</v>
      </c>
      <c r="J124" s="32" t="n">
        <f aca="false">SUMPRODUCT($C$86:$I$86,LEN(INDEX('Saisie programme'!$D$13:$J$477,304,0)))+SUMIFS('Vols additionnels'!$E$7:$E$66,'Vols additionnels'!$C$7:$C$66,"RRGRUN",'Vols additionnels'!$D$7:$D$66,"77W",'Vols additionnels'!$B$7:$B$66,"&gt;="&amp;$J$86,'Vols additionnels'!$B$7:$B$66,"&lt;="&amp;$K$86)</f>
        <v>0</v>
      </c>
      <c r="K124" s="32" t="n">
        <f aca="false">SUMPRODUCT($C$87:$I$87,LEN(INDEX('Saisie programme'!$D$13:$J$477,343,0)))+SUMIFS('Vols additionnels'!$E$7:$E$66,'Vols additionnels'!$C$7:$C$66,"RRGRUN",'Vols additionnels'!$D$7:$D$66,"77W",'Vols additionnels'!$B$7:$B$66,"&gt;="&amp;$J$87,'Vols additionnels'!$B$7:$B$66,"&lt;="&amp;$K$87)</f>
        <v>0</v>
      </c>
      <c r="L124" s="32" t="n">
        <f aca="false">SUMPRODUCT($C$88:$I$88,LEN(INDEX('Saisie programme'!$D$13:$J$477,382,0)))+SUMIFS('Vols additionnels'!$E$7:$E$66,'Vols additionnels'!$C$7:$C$66,"RRGRUN",'Vols additionnels'!$D$7:$D$66,"77W",'Vols additionnels'!$B$7:$B$66,"&gt;="&amp;$J$88,'Vols additionnels'!$B$7:$B$66,"&lt;="&amp;$K$88)</f>
        <v>0</v>
      </c>
      <c r="M124" s="32" t="n">
        <f aca="false">SUMPRODUCT($C$89:$I$89,LEN(INDEX('Saisie programme'!$D$13:$J$477,421,0)))+SUMIFS('Vols additionnels'!$E$7:$E$66,'Vols additionnels'!$C$7:$C$66,"RRGRUN",'Vols additionnels'!$D$7:$D$66,"77W",'Vols additionnels'!$B$7:$B$66,"&gt;="&amp;$J$89,'Vols additionnels'!$B$7:$B$66,"&lt;="&amp;$K$89)</f>
        <v>0</v>
      </c>
      <c r="N124" s="32" t="n">
        <f aca="false">SUMPRODUCT($C$90:$I$90,LEN(INDEX('Saisie programme'!$D$13:$J$477,460,0)))+SUMIFS('Vols additionnels'!$E$7:$E$66,'Vols additionnels'!$C$7:$C$66,"RRGRUN",'Vols additionnels'!$D$7:$D$66,"77W",'Vols additionnels'!$B$7:$B$66,"&gt;="&amp;$J$90,'Vols additionnels'!$B$7:$B$66,"&lt;="&amp;$K$90)</f>
        <v>0</v>
      </c>
      <c r="O124" s="12" t="s">
        <v>59</v>
      </c>
      <c r="P124" s="12" t="s">
        <v>11</v>
      </c>
    </row>
    <row r="125" customFormat="false" ht="15" hidden="false" customHeight="false" outlineLevel="0" collapsed="false">
      <c r="B125" s="10" t="s">
        <v>132</v>
      </c>
      <c r="C125" s="32" t="n">
        <f aca="false">SUMPRODUCT($C$79:$I$79,LEN(INDEX('Saisie programme'!$D$13:$J$477,32,0)))+SUMIFS('Vols additionnels'!$E$7:$E$66,'Vols additionnels'!$C$7:$C$66,"RRGRUN",'Vols additionnels'!$D$7:$D$66,"787",'Vols additionnels'!$B$7:$B$66,"&gt;="&amp;$J$79,'Vols additionnels'!$B$7:$B$66,"&lt;="&amp;$K$79)</f>
        <v>0</v>
      </c>
      <c r="D125" s="32" t="n">
        <f aca="false">SUMPRODUCT($C$80:$I$80,LEN(INDEX('Saisie programme'!$D$13:$J$477,71,0)))+SUMIFS('Vols additionnels'!$E$7:$E$66,'Vols additionnels'!$C$7:$C$66,"RRGRUN",'Vols additionnels'!$D$7:$D$66,"787",'Vols additionnels'!$B$7:$B$66,"&gt;="&amp;$J$80,'Vols additionnels'!$B$7:$B$66,"&lt;="&amp;$K$80)</f>
        <v>0</v>
      </c>
      <c r="E125" s="32" t="n">
        <f aca="false">SUMPRODUCT($C$81:$I$81,LEN(INDEX('Saisie programme'!$D$13:$J$477,110,0)))+SUMIFS('Vols additionnels'!$E$7:$E$66,'Vols additionnels'!$C$7:$C$66,"RRGRUN",'Vols additionnels'!$D$7:$D$66,"787",'Vols additionnels'!$B$7:$B$66,"&gt;="&amp;$J$81,'Vols additionnels'!$B$7:$B$66,"&lt;="&amp;$K$81)</f>
        <v>0</v>
      </c>
      <c r="F125" s="32" t="n">
        <f aca="false">SUMPRODUCT($C$82:$I$82,LEN(INDEX('Saisie programme'!$D$13:$J$477,149,0)))+SUMIFS('Vols additionnels'!$E$7:$E$66,'Vols additionnels'!$C$7:$C$66,"RRGRUN",'Vols additionnels'!$D$7:$D$66,"787",'Vols additionnels'!$B$7:$B$66,"&gt;="&amp;$J$82,'Vols additionnels'!$B$7:$B$66,"&lt;="&amp;$K$82)</f>
        <v>0</v>
      </c>
      <c r="G125" s="32" t="n">
        <f aca="false">SUMPRODUCT($C$83:$I$83,LEN(INDEX('Saisie programme'!$D$13:$J$477,188,0)))+SUMIFS('Vols additionnels'!$E$7:$E$66,'Vols additionnels'!$C$7:$C$66,"RRGRUN",'Vols additionnels'!$D$7:$D$66,"787",'Vols additionnels'!$B$7:$B$66,"&gt;="&amp;$J$83,'Vols additionnels'!$B$7:$B$66,"&lt;="&amp;$K$83)</f>
        <v>0</v>
      </c>
      <c r="H125" s="32" t="n">
        <f aca="false">SUMPRODUCT($C$84:$I$84,LEN(INDEX('Saisie programme'!$D$13:$J$477,227,0)))+SUMIFS('Vols additionnels'!$E$7:$E$66,'Vols additionnels'!$C$7:$C$66,"RRGRUN",'Vols additionnels'!$D$7:$D$66,"787",'Vols additionnels'!$B$7:$B$66,"&gt;="&amp;$J$84,'Vols additionnels'!$B$7:$B$66,"&lt;="&amp;$K$84)</f>
        <v>0</v>
      </c>
      <c r="I125" s="32" t="n">
        <f aca="false">SUMPRODUCT($C$85:$I$85,LEN(INDEX('Saisie programme'!$D$13:$J$477,266,0)))+SUMIFS('Vols additionnels'!$E$7:$E$66,'Vols additionnels'!$C$7:$C$66,"RRGRUN",'Vols additionnels'!$D$7:$D$66,"787",'Vols additionnels'!$B$7:$B$66,"&gt;="&amp;$J$85,'Vols additionnels'!$B$7:$B$66,"&lt;="&amp;$K$85)</f>
        <v>0</v>
      </c>
      <c r="J125" s="32" t="n">
        <f aca="false">SUMPRODUCT($C$86:$I$86,LEN(INDEX('Saisie programme'!$D$13:$J$477,305,0)))+SUMIFS('Vols additionnels'!$E$7:$E$66,'Vols additionnels'!$C$7:$C$66,"RRGRUN",'Vols additionnels'!$D$7:$D$66,"787",'Vols additionnels'!$B$7:$B$66,"&gt;="&amp;$J$86,'Vols additionnels'!$B$7:$B$66,"&lt;="&amp;$K$86)</f>
        <v>0</v>
      </c>
      <c r="K125" s="32" t="n">
        <f aca="false">SUMPRODUCT($C$87:$I$87,LEN(INDEX('Saisie programme'!$D$13:$J$477,344,0)))+SUMIFS('Vols additionnels'!$E$7:$E$66,'Vols additionnels'!$C$7:$C$66,"RRGRUN",'Vols additionnels'!$D$7:$D$66,"787",'Vols additionnels'!$B$7:$B$66,"&gt;="&amp;$J$87,'Vols additionnels'!$B$7:$B$66,"&lt;="&amp;$K$87)</f>
        <v>0</v>
      </c>
      <c r="L125" s="32" t="n">
        <f aca="false">SUMPRODUCT($C$88:$I$88,LEN(INDEX('Saisie programme'!$D$13:$J$477,383,0)))+SUMIFS('Vols additionnels'!$E$7:$E$66,'Vols additionnels'!$C$7:$C$66,"RRGRUN",'Vols additionnels'!$D$7:$D$66,"787",'Vols additionnels'!$B$7:$B$66,"&gt;="&amp;$J$88,'Vols additionnels'!$B$7:$B$66,"&lt;="&amp;$K$88)</f>
        <v>0</v>
      </c>
      <c r="M125" s="32" t="n">
        <f aca="false">SUMPRODUCT($C$89:$I$89,LEN(INDEX('Saisie programme'!$D$13:$J$477,422,0)))+SUMIFS('Vols additionnels'!$E$7:$E$66,'Vols additionnels'!$C$7:$C$66,"RRGRUN",'Vols additionnels'!$D$7:$D$66,"787",'Vols additionnels'!$B$7:$B$66,"&gt;="&amp;$J$89,'Vols additionnels'!$B$7:$B$66,"&lt;="&amp;$K$89)</f>
        <v>0</v>
      </c>
      <c r="N125" s="32" t="n">
        <f aca="false">SUMPRODUCT($C$90:$I$90,LEN(INDEX('Saisie programme'!$D$13:$J$477,461,0)))+SUMIFS('Vols additionnels'!$E$7:$E$66,'Vols additionnels'!$C$7:$C$66,"RRGRUN",'Vols additionnels'!$D$7:$D$66,"787",'Vols additionnels'!$B$7:$B$66,"&gt;="&amp;$J$90,'Vols additionnels'!$B$7:$B$66,"&lt;="&amp;$K$90)</f>
        <v>0</v>
      </c>
      <c r="O125" s="12" t="s">
        <v>59</v>
      </c>
      <c r="P125" s="12" t="s">
        <v>19</v>
      </c>
    </row>
    <row r="126" customFormat="false" ht="15" hidden="false" customHeight="false" outlineLevel="0" collapsed="false">
      <c r="B126" s="10" t="s">
        <v>133</v>
      </c>
      <c r="C126" s="32" t="n">
        <f aca="false">SUMPRODUCT($C$79:$I$79,LEN(INDEX('Saisie programme'!$D$13:$J$477,33,0)))+SUMIFS('Vols additionnels'!$E$7:$E$66,'Vols additionnels'!$C$7:$C$66,"RRGRUN",'Vols additionnels'!$D$7:$D$66,"A320",'Vols additionnels'!$B$7:$B$66,"&gt;="&amp;$J$79,'Vols additionnels'!$B$7:$B$66,"&lt;="&amp;$K$79)</f>
        <v>31</v>
      </c>
      <c r="D126" s="32" t="n">
        <f aca="false">SUMPRODUCT($C$80:$I$80,LEN(INDEX('Saisie programme'!$D$13:$J$477,72,0)))+SUMIFS('Vols additionnels'!$E$7:$E$66,'Vols additionnels'!$C$7:$C$66,"RRGRUN",'Vols additionnels'!$D$7:$D$66,"A320",'Vols additionnels'!$B$7:$B$66,"&gt;="&amp;$J$80,'Vols additionnels'!$B$7:$B$66,"&lt;="&amp;$K$80)</f>
        <v>30</v>
      </c>
      <c r="E126" s="32" t="n">
        <f aca="false">SUMPRODUCT($C$81:$I$81,LEN(INDEX('Saisie programme'!$D$13:$J$477,111,0)))+SUMIFS('Vols additionnels'!$E$7:$E$66,'Vols additionnels'!$C$7:$C$66,"RRGRUN",'Vols additionnels'!$D$7:$D$66,"A320",'Vols additionnels'!$B$7:$B$66,"&gt;="&amp;$J$81,'Vols additionnels'!$B$7:$B$66,"&lt;="&amp;$K$81)</f>
        <v>30</v>
      </c>
      <c r="F126" s="32" t="n">
        <f aca="false">SUMPRODUCT($C$82:$I$82,LEN(INDEX('Saisie programme'!$D$13:$J$477,150,0)))+SUMIFS('Vols additionnels'!$E$7:$E$66,'Vols additionnels'!$C$7:$C$66,"RRGRUN",'Vols additionnels'!$D$7:$D$66,"A320",'Vols additionnels'!$B$7:$B$66,"&gt;="&amp;$J$82,'Vols additionnels'!$B$7:$B$66,"&lt;="&amp;$K$82)</f>
        <v>32</v>
      </c>
      <c r="G126" s="32" t="n">
        <f aca="false">SUMPRODUCT($C$83:$I$83,LEN(INDEX('Saisie programme'!$D$13:$J$477,189,0)))+SUMIFS('Vols additionnels'!$E$7:$E$66,'Vols additionnels'!$C$7:$C$66,"RRGRUN",'Vols additionnels'!$D$7:$D$66,"A320",'Vols additionnels'!$B$7:$B$66,"&gt;="&amp;$J$83,'Vols additionnels'!$B$7:$B$66,"&lt;="&amp;$K$83)</f>
        <v>30</v>
      </c>
      <c r="H126" s="32" t="n">
        <f aca="false">SUMPRODUCT($C$84:$I$84,LEN(INDEX('Saisie programme'!$D$13:$J$477,228,0)))+SUMIFS('Vols additionnels'!$E$7:$E$66,'Vols additionnels'!$C$7:$C$66,"RRGRUN",'Vols additionnels'!$D$7:$D$66,"A320",'Vols additionnels'!$B$7:$B$66,"&gt;="&amp;$J$84,'Vols additionnels'!$B$7:$B$66,"&lt;="&amp;$K$84)</f>
        <v>31</v>
      </c>
      <c r="I126" s="32" t="n">
        <f aca="false">SUMPRODUCT($C$85:$I$85,LEN(INDEX('Saisie programme'!$D$13:$J$477,267,0)))+SUMIFS('Vols additionnels'!$E$7:$E$66,'Vols additionnels'!$C$7:$C$66,"RRGRUN",'Vols additionnels'!$D$7:$D$66,"A320",'Vols additionnels'!$B$7:$B$66,"&gt;="&amp;$J$85,'Vols additionnels'!$B$7:$B$66,"&lt;="&amp;$K$85)</f>
        <v>30</v>
      </c>
      <c r="J126" s="32" t="n">
        <f aca="false">SUMPRODUCT($C$86:$I$86,LEN(INDEX('Saisie programme'!$D$13:$J$477,306,0)))+SUMIFS('Vols additionnels'!$E$7:$E$66,'Vols additionnels'!$C$7:$C$66,"RRGRUN",'Vols additionnels'!$D$7:$D$66,"A320",'Vols additionnels'!$B$7:$B$66,"&gt;="&amp;$J$86,'Vols additionnels'!$B$7:$B$66,"&lt;="&amp;$K$86)</f>
        <v>30</v>
      </c>
      <c r="K126" s="32" t="n">
        <f aca="false">SUMPRODUCT($C$87:$I$87,LEN(INDEX('Saisie programme'!$D$13:$J$477,345,0)))+SUMIFS('Vols additionnels'!$E$7:$E$66,'Vols additionnels'!$C$7:$C$66,"RRGRUN",'Vols additionnels'!$D$7:$D$66,"A320",'Vols additionnels'!$B$7:$B$66,"&gt;="&amp;$J$87,'Vols additionnels'!$B$7:$B$66,"&lt;="&amp;$K$87)</f>
        <v>32</v>
      </c>
      <c r="L126" s="32" t="n">
        <f aca="false">SUMPRODUCT($C$88:$I$88,LEN(INDEX('Saisie programme'!$D$13:$J$477,384,0)))+SUMIFS('Vols additionnels'!$E$7:$E$66,'Vols additionnels'!$C$7:$C$66,"RRGRUN",'Vols additionnels'!$D$7:$D$66,"A320",'Vols additionnels'!$B$7:$B$66,"&gt;="&amp;$J$88,'Vols additionnels'!$B$7:$B$66,"&lt;="&amp;$K$88)</f>
        <v>30</v>
      </c>
      <c r="M126" s="32" t="n">
        <f aca="false">SUMPRODUCT($C$89:$I$89,LEN(INDEX('Saisie programme'!$D$13:$J$477,423,0)))+SUMIFS('Vols additionnels'!$E$7:$E$66,'Vols additionnels'!$C$7:$C$66,"RRGRUN",'Vols additionnels'!$D$7:$D$66,"A320",'Vols additionnels'!$B$7:$B$66,"&gt;="&amp;$J$89,'Vols additionnels'!$B$7:$B$66,"&lt;="&amp;$K$89)</f>
        <v>29</v>
      </c>
      <c r="N126" s="32" t="n">
        <f aca="false">SUMPRODUCT($C$90:$I$90,LEN(INDEX('Saisie programme'!$D$13:$J$477,462,0)))+SUMIFS('Vols additionnels'!$E$7:$E$66,'Vols additionnels'!$C$7:$C$66,"RRGRUN",'Vols additionnels'!$D$7:$D$66,"A320",'Vols additionnels'!$B$7:$B$66,"&gt;="&amp;$J$90,'Vols additionnels'!$B$7:$B$66,"&lt;="&amp;$K$90)</f>
        <v>32</v>
      </c>
      <c r="O126" s="12" t="s">
        <v>59</v>
      </c>
      <c r="P126" s="12" t="s">
        <v>24</v>
      </c>
    </row>
    <row r="127" customFormat="false" ht="15" hidden="false" customHeight="false" outlineLevel="0" collapsed="false">
      <c r="B127" s="10" t="s">
        <v>134</v>
      </c>
      <c r="C127" s="32" t="n">
        <f aca="false">SUMPRODUCT($C$79:$I$79,LEN(INDEX('Saisie programme'!$D$13:$J$477,34,0)))+SUMIFS('Vols additionnels'!$E$7:$E$66,'Vols additionnels'!$C$7:$C$66,"TMMRUN",'Vols additionnels'!$D$7:$D$66,"77W",'Vols additionnels'!$B$7:$B$66,"&gt;="&amp;$J$79,'Vols additionnels'!$B$7:$B$66,"&lt;="&amp;$K$79)</f>
        <v>0</v>
      </c>
      <c r="D127" s="32" t="n">
        <f aca="false">SUMPRODUCT($C$80:$I$80,LEN(INDEX('Saisie programme'!$D$13:$J$477,73,0)))+SUMIFS('Vols additionnels'!$E$7:$E$66,'Vols additionnels'!$C$7:$C$66,"TMMRUN",'Vols additionnels'!$D$7:$D$66,"77W",'Vols additionnels'!$B$7:$B$66,"&gt;="&amp;$J$80,'Vols additionnels'!$B$7:$B$66,"&lt;="&amp;$K$80)</f>
        <v>0</v>
      </c>
      <c r="E127" s="32" t="n">
        <f aca="false">SUMPRODUCT($C$81:$I$81,LEN(INDEX('Saisie programme'!$D$13:$J$477,112,0)))+SUMIFS('Vols additionnels'!$E$7:$E$66,'Vols additionnels'!$C$7:$C$66,"TMMRUN",'Vols additionnels'!$D$7:$D$66,"77W",'Vols additionnels'!$B$7:$B$66,"&gt;="&amp;$J$81,'Vols additionnels'!$B$7:$B$66,"&lt;="&amp;$K$81)</f>
        <v>0</v>
      </c>
      <c r="F127" s="32" t="n">
        <f aca="false">SUMPRODUCT($C$82:$I$82,LEN(INDEX('Saisie programme'!$D$13:$J$477,151,0)))+SUMIFS('Vols additionnels'!$E$7:$E$66,'Vols additionnels'!$C$7:$C$66,"TMMRUN",'Vols additionnels'!$D$7:$D$66,"77W",'Vols additionnels'!$B$7:$B$66,"&gt;="&amp;$J$82,'Vols additionnels'!$B$7:$B$66,"&lt;="&amp;$K$82)</f>
        <v>0</v>
      </c>
      <c r="G127" s="32" t="n">
        <f aca="false">SUMPRODUCT($C$83:$I$83,LEN(INDEX('Saisie programme'!$D$13:$J$477,190,0)))+SUMIFS('Vols additionnels'!$E$7:$E$66,'Vols additionnels'!$C$7:$C$66,"TMMRUN",'Vols additionnels'!$D$7:$D$66,"77W",'Vols additionnels'!$B$7:$B$66,"&gt;="&amp;$J$83,'Vols additionnels'!$B$7:$B$66,"&lt;="&amp;$K$83)</f>
        <v>0</v>
      </c>
      <c r="H127" s="32" t="n">
        <f aca="false">SUMPRODUCT($C$84:$I$84,LEN(INDEX('Saisie programme'!$D$13:$J$477,229,0)))+SUMIFS('Vols additionnels'!$E$7:$E$66,'Vols additionnels'!$C$7:$C$66,"TMMRUN",'Vols additionnels'!$D$7:$D$66,"77W",'Vols additionnels'!$B$7:$B$66,"&gt;="&amp;$J$84,'Vols additionnels'!$B$7:$B$66,"&lt;="&amp;$K$84)</f>
        <v>0</v>
      </c>
      <c r="I127" s="32" t="n">
        <f aca="false">SUMPRODUCT($C$85:$I$85,LEN(INDEX('Saisie programme'!$D$13:$J$477,268,0)))+SUMIFS('Vols additionnels'!$E$7:$E$66,'Vols additionnels'!$C$7:$C$66,"TMMRUN",'Vols additionnels'!$D$7:$D$66,"77W",'Vols additionnels'!$B$7:$B$66,"&gt;="&amp;$J$85,'Vols additionnels'!$B$7:$B$66,"&lt;="&amp;$K$85)</f>
        <v>0</v>
      </c>
      <c r="J127" s="32" t="n">
        <f aca="false">SUMPRODUCT($C$86:$I$86,LEN(INDEX('Saisie programme'!$D$13:$J$477,307,0)))+SUMIFS('Vols additionnels'!$E$7:$E$66,'Vols additionnels'!$C$7:$C$66,"TMMRUN",'Vols additionnels'!$D$7:$D$66,"77W",'Vols additionnels'!$B$7:$B$66,"&gt;="&amp;$J$86,'Vols additionnels'!$B$7:$B$66,"&lt;="&amp;$K$86)</f>
        <v>0</v>
      </c>
      <c r="K127" s="32" t="n">
        <f aca="false">SUMPRODUCT($C$87:$I$87,LEN(INDEX('Saisie programme'!$D$13:$J$477,346,0)))+SUMIFS('Vols additionnels'!$E$7:$E$66,'Vols additionnels'!$C$7:$C$66,"TMMRUN",'Vols additionnels'!$D$7:$D$66,"77W",'Vols additionnels'!$B$7:$B$66,"&gt;="&amp;$J$87,'Vols additionnels'!$B$7:$B$66,"&lt;="&amp;$K$87)</f>
        <v>0</v>
      </c>
      <c r="L127" s="32" t="n">
        <f aca="false">SUMPRODUCT($C$88:$I$88,LEN(INDEX('Saisie programme'!$D$13:$J$477,385,0)))+SUMIFS('Vols additionnels'!$E$7:$E$66,'Vols additionnels'!$C$7:$C$66,"TMMRUN",'Vols additionnels'!$D$7:$D$66,"77W",'Vols additionnels'!$B$7:$B$66,"&gt;="&amp;$J$88,'Vols additionnels'!$B$7:$B$66,"&lt;="&amp;$K$88)</f>
        <v>0</v>
      </c>
      <c r="M127" s="32" t="n">
        <f aca="false">SUMPRODUCT($C$89:$I$89,LEN(INDEX('Saisie programme'!$D$13:$J$477,424,0)))+SUMIFS('Vols additionnels'!$E$7:$E$66,'Vols additionnels'!$C$7:$C$66,"TMMRUN",'Vols additionnels'!$D$7:$D$66,"77W",'Vols additionnels'!$B$7:$B$66,"&gt;="&amp;$J$89,'Vols additionnels'!$B$7:$B$66,"&lt;="&amp;$K$89)</f>
        <v>0</v>
      </c>
      <c r="N127" s="32" t="n">
        <f aca="false">SUMPRODUCT($C$90:$I$90,LEN(INDEX('Saisie programme'!$D$13:$J$477,463,0)))+SUMIFS('Vols additionnels'!$E$7:$E$66,'Vols additionnels'!$C$7:$C$66,"TMMRUN",'Vols additionnels'!$D$7:$D$66,"77W",'Vols additionnels'!$B$7:$B$66,"&gt;="&amp;$J$90,'Vols additionnels'!$B$7:$B$66,"&lt;="&amp;$K$90)</f>
        <v>0</v>
      </c>
      <c r="O127" s="12" t="s">
        <v>62</v>
      </c>
      <c r="P127" s="12" t="s">
        <v>11</v>
      </c>
    </row>
    <row r="128" customFormat="false" ht="15" hidden="false" customHeight="false" outlineLevel="0" collapsed="false">
      <c r="B128" s="10" t="s">
        <v>135</v>
      </c>
      <c r="C128" s="32" t="n">
        <f aca="false">SUMPRODUCT($C$79:$I$79,LEN(INDEX('Saisie programme'!$D$13:$J$477,35,0)))+SUMIFS('Vols additionnels'!$E$7:$E$66,'Vols additionnels'!$C$7:$C$66,"TMMRUN",'Vols additionnels'!$D$7:$D$66,"787",'Vols additionnels'!$B$7:$B$66,"&gt;="&amp;$J$79,'Vols additionnels'!$B$7:$B$66,"&lt;="&amp;$K$79)</f>
        <v>0</v>
      </c>
      <c r="D128" s="32" t="n">
        <f aca="false">SUMPRODUCT($C$80:$I$80,LEN(INDEX('Saisie programme'!$D$13:$J$477,74,0)))+SUMIFS('Vols additionnels'!$E$7:$E$66,'Vols additionnels'!$C$7:$C$66,"TMMRUN",'Vols additionnels'!$D$7:$D$66,"787",'Vols additionnels'!$B$7:$B$66,"&gt;="&amp;$J$80,'Vols additionnels'!$B$7:$B$66,"&lt;="&amp;$K$80)</f>
        <v>0</v>
      </c>
      <c r="E128" s="32" t="n">
        <f aca="false">SUMPRODUCT($C$81:$I$81,LEN(INDEX('Saisie programme'!$D$13:$J$477,113,0)))+SUMIFS('Vols additionnels'!$E$7:$E$66,'Vols additionnels'!$C$7:$C$66,"TMMRUN",'Vols additionnels'!$D$7:$D$66,"787",'Vols additionnels'!$B$7:$B$66,"&gt;="&amp;$J$81,'Vols additionnels'!$B$7:$B$66,"&lt;="&amp;$K$81)</f>
        <v>0</v>
      </c>
      <c r="F128" s="32" t="n">
        <f aca="false">SUMPRODUCT($C$82:$I$82,LEN(INDEX('Saisie programme'!$D$13:$J$477,152,0)))+SUMIFS('Vols additionnels'!$E$7:$E$66,'Vols additionnels'!$C$7:$C$66,"TMMRUN",'Vols additionnels'!$D$7:$D$66,"787",'Vols additionnels'!$B$7:$B$66,"&gt;="&amp;$J$82,'Vols additionnels'!$B$7:$B$66,"&lt;="&amp;$K$82)</f>
        <v>0</v>
      </c>
      <c r="G128" s="32" t="n">
        <f aca="false">SUMPRODUCT($C$83:$I$83,LEN(INDEX('Saisie programme'!$D$13:$J$477,191,0)))+SUMIFS('Vols additionnels'!$E$7:$E$66,'Vols additionnels'!$C$7:$C$66,"TMMRUN",'Vols additionnels'!$D$7:$D$66,"787",'Vols additionnels'!$B$7:$B$66,"&gt;="&amp;$J$83,'Vols additionnels'!$B$7:$B$66,"&lt;="&amp;$K$83)</f>
        <v>0</v>
      </c>
      <c r="H128" s="32" t="n">
        <f aca="false">SUMPRODUCT($C$84:$I$84,LEN(INDEX('Saisie programme'!$D$13:$J$477,230,0)))+SUMIFS('Vols additionnels'!$E$7:$E$66,'Vols additionnels'!$C$7:$C$66,"TMMRUN",'Vols additionnels'!$D$7:$D$66,"787",'Vols additionnels'!$B$7:$B$66,"&gt;="&amp;$J$84,'Vols additionnels'!$B$7:$B$66,"&lt;="&amp;$K$84)</f>
        <v>0</v>
      </c>
      <c r="I128" s="32" t="n">
        <f aca="false">SUMPRODUCT($C$85:$I$85,LEN(INDEX('Saisie programme'!$D$13:$J$477,269,0)))+SUMIFS('Vols additionnels'!$E$7:$E$66,'Vols additionnels'!$C$7:$C$66,"TMMRUN",'Vols additionnels'!$D$7:$D$66,"787",'Vols additionnels'!$B$7:$B$66,"&gt;="&amp;$J$85,'Vols additionnels'!$B$7:$B$66,"&lt;="&amp;$K$85)</f>
        <v>0</v>
      </c>
      <c r="J128" s="32" t="n">
        <f aca="false">SUMPRODUCT($C$86:$I$86,LEN(INDEX('Saisie programme'!$D$13:$J$477,308,0)))+SUMIFS('Vols additionnels'!$E$7:$E$66,'Vols additionnels'!$C$7:$C$66,"TMMRUN",'Vols additionnels'!$D$7:$D$66,"787",'Vols additionnels'!$B$7:$B$66,"&gt;="&amp;$J$86,'Vols additionnels'!$B$7:$B$66,"&lt;="&amp;$K$86)</f>
        <v>0</v>
      </c>
      <c r="K128" s="32" t="n">
        <f aca="false">SUMPRODUCT($C$87:$I$87,LEN(INDEX('Saisie programme'!$D$13:$J$477,347,0)))+SUMIFS('Vols additionnels'!$E$7:$E$66,'Vols additionnels'!$C$7:$C$66,"TMMRUN",'Vols additionnels'!$D$7:$D$66,"787",'Vols additionnels'!$B$7:$B$66,"&gt;="&amp;$J$87,'Vols additionnels'!$B$7:$B$66,"&lt;="&amp;$K$87)</f>
        <v>0</v>
      </c>
      <c r="L128" s="32" t="n">
        <f aca="false">SUMPRODUCT($C$88:$I$88,LEN(INDEX('Saisie programme'!$D$13:$J$477,386,0)))+SUMIFS('Vols additionnels'!$E$7:$E$66,'Vols additionnels'!$C$7:$C$66,"TMMRUN",'Vols additionnels'!$D$7:$D$66,"787",'Vols additionnels'!$B$7:$B$66,"&gt;="&amp;$J$88,'Vols additionnels'!$B$7:$B$66,"&lt;="&amp;$K$88)</f>
        <v>0</v>
      </c>
      <c r="M128" s="32" t="n">
        <f aca="false">SUMPRODUCT($C$89:$I$89,LEN(INDEX('Saisie programme'!$D$13:$J$477,425,0)))+SUMIFS('Vols additionnels'!$E$7:$E$66,'Vols additionnels'!$C$7:$C$66,"TMMRUN",'Vols additionnels'!$D$7:$D$66,"787",'Vols additionnels'!$B$7:$B$66,"&gt;="&amp;$J$89,'Vols additionnels'!$B$7:$B$66,"&lt;="&amp;$K$89)</f>
        <v>0</v>
      </c>
      <c r="N128" s="32" t="n">
        <f aca="false">SUMPRODUCT($C$90:$I$90,LEN(INDEX('Saisie programme'!$D$13:$J$477,464,0)))+SUMIFS('Vols additionnels'!$E$7:$E$66,'Vols additionnels'!$C$7:$C$66,"TMMRUN",'Vols additionnels'!$D$7:$D$66,"787",'Vols additionnels'!$B$7:$B$66,"&gt;="&amp;$J$90,'Vols additionnels'!$B$7:$B$66,"&lt;="&amp;$K$90)</f>
        <v>0</v>
      </c>
      <c r="O128" s="12" t="s">
        <v>62</v>
      </c>
      <c r="P128" s="12" t="s">
        <v>19</v>
      </c>
    </row>
    <row r="129" customFormat="false" ht="15" hidden="false" customHeight="false" outlineLevel="0" collapsed="false">
      <c r="B129" s="10" t="s">
        <v>136</v>
      </c>
      <c r="C129" s="32" t="n">
        <f aca="false">SUMPRODUCT($C$79:$I$79,LEN(INDEX('Saisie programme'!$D$13:$J$477,36,0)))+SUMIFS('Vols additionnels'!$E$7:$E$66,'Vols additionnels'!$C$7:$C$66,"TMMRUN",'Vols additionnels'!$D$7:$D$66,"A320",'Vols additionnels'!$B$7:$B$66,"&gt;="&amp;$J$79,'Vols additionnels'!$B$7:$B$66,"&lt;="&amp;$K$79)</f>
        <v>8</v>
      </c>
      <c r="D129" s="32" t="n">
        <f aca="false">SUMPRODUCT($C$80:$I$80,LEN(INDEX('Saisie programme'!$D$13:$J$477,75,0)))+SUMIFS('Vols additionnels'!$E$7:$E$66,'Vols additionnels'!$C$7:$C$66,"TMMRUN",'Vols additionnels'!$D$7:$D$66,"A320",'Vols additionnels'!$B$7:$B$66,"&gt;="&amp;$J$80,'Vols additionnels'!$B$7:$B$66,"&lt;="&amp;$K$80)</f>
        <v>9</v>
      </c>
      <c r="E129" s="32" t="n">
        <f aca="false">SUMPRODUCT($C$81:$I$81,LEN(INDEX('Saisie programme'!$D$13:$J$477,114,0)))+SUMIFS('Vols additionnels'!$E$7:$E$66,'Vols additionnels'!$C$7:$C$66,"TMMRUN",'Vols additionnels'!$D$7:$D$66,"A320",'Vols additionnels'!$B$7:$B$66,"&gt;="&amp;$J$81,'Vols additionnels'!$B$7:$B$66,"&lt;="&amp;$K$81)</f>
        <v>9</v>
      </c>
      <c r="F129" s="32" t="n">
        <f aca="false">SUMPRODUCT($C$82:$I$82,LEN(INDEX('Saisie programme'!$D$13:$J$477,153,0)))+SUMIFS('Vols additionnels'!$E$7:$E$66,'Vols additionnels'!$C$7:$C$66,"TMMRUN",'Vols additionnels'!$D$7:$D$66,"A320",'Vols additionnels'!$B$7:$B$66,"&gt;="&amp;$J$82,'Vols additionnels'!$B$7:$B$66,"&lt;="&amp;$K$82)</f>
        <v>8</v>
      </c>
      <c r="G129" s="32" t="n">
        <f aca="false">SUMPRODUCT($C$83:$I$83,LEN(INDEX('Saisie programme'!$D$13:$J$477,192,0)))+SUMIFS('Vols additionnels'!$E$7:$E$66,'Vols additionnels'!$C$7:$C$66,"TMMRUN",'Vols additionnels'!$D$7:$D$66,"A320",'Vols additionnels'!$B$7:$B$66,"&gt;="&amp;$J$83,'Vols additionnels'!$B$7:$B$66,"&lt;="&amp;$K$83)</f>
        <v>9</v>
      </c>
      <c r="H129" s="32" t="n">
        <f aca="false">SUMPRODUCT($C$84:$I$84,LEN(INDEX('Saisie programme'!$D$13:$J$477,231,0)))+SUMIFS('Vols additionnels'!$E$7:$E$66,'Vols additionnels'!$C$7:$C$66,"TMMRUN",'Vols additionnels'!$D$7:$D$66,"A320",'Vols additionnels'!$B$7:$B$66,"&gt;="&amp;$J$84,'Vols additionnels'!$B$7:$B$66,"&lt;="&amp;$K$84)</f>
        <v>9</v>
      </c>
      <c r="I129" s="32" t="n">
        <f aca="false">SUMPRODUCT($C$85:$I$85,LEN(INDEX('Saisie programme'!$D$13:$J$477,270,0)))+SUMIFS('Vols additionnels'!$E$7:$E$66,'Vols additionnels'!$C$7:$C$66,"TMMRUN",'Vols additionnels'!$D$7:$D$66,"A320",'Vols additionnels'!$B$7:$B$66,"&gt;="&amp;$J$85,'Vols additionnels'!$B$7:$B$66,"&lt;="&amp;$K$85)</f>
        <v>9</v>
      </c>
      <c r="J129" s="32" t="n">
        <f aca="false">SUMPRODUCT($C$86:$I$86,LEN(INDEX('Saisie programme'!$D$13:$J$477,309,0)))+SUMIFS('Vols additionnels'!$E$7:$E$66,'Vols additionnels'!$C$7:$C$66,"TMMRUN",'Vols additionnels'!$D$7:$D$66,"A320",'Vols additionnels'!$B$7:$B$66,"&gt;="&amp;$J$86,'Vols additionnels'!$B$7:$B$66,"&lt;="&amp;$K$86)</f>
        <v>8</v>
      </c>
      <c r="K129" s="32" t="n">
        <f aca="false">SUMPRODUCT($C$87:$I$87,LEN(INDEX('Saisie programme'!$D$13:$J$477,348,0)))+SUMIFS('Vols additionnels'!$E$7:$E$66,'Vols additionnels'!$C$7:$C$66,"TMMRUN",'Vols additionnels'!$D$7:$D$66,"A320",'Vols additionnels'!$B$7:$B$66,"&gt;="&amp;$J$87,'Vols additionnels'!$B$7:$B$66,"&lt;="&amp;$K$87)</f>
        <v>9</v>
      </c>
      <c r="L129" s="32" t="n">
        <f aca="false">SUMPRODUCT($C$88:$I$88,LEN(INDEX('Saisie programme'!$D$13:$J$477,387,0)))+SUMIFS('Vols additionnels'!$E$7:$E$66,'Vols additionnels'!$C$7:$C$66,"TMMRUN",'Vols additionnels'!$D$7:$D$66,"A320",'Vols additionnels'!$B$7:$B$66,"&gt;="&amp;$J$88,'Vols additionnels'!$B$7:$B$66,"&lt;="&amp;$K$88)</f>
        <v>9</v>
      </c>
      <c r="M129" s="32" t="n">
        <f aca="false">SUMPRODUCT($C$89:$I$89,LEN(INDEX('Saisie programme'!$D$13:$J$477,426,0)))+SUMIFS('Vols additionnels'!$E$7:$E$66,'Vols additionnels'!$C$7:$C$66,"TMMRUN",'Vols additionnels'!$D$7:$D$66,"A320",'Vols additionnels'!$B$7:$B$66,"&gt;="&amp;$J$89,'Vols additionnels'!$B$7:$B$66,"&lt;="&amp;$K$89)</f>
        <v>8</v>
      </c>
      <c r="N129" s="32" t="n">
        <f aca="false">SUMPRODUCT($C$90:$I$90,LEN(INDEX('Saisie programme'!$D$13:$J$477,465,0)))+SUMIFS('Vols additionnels'!$E$7:$E$66,'Vols additionnels'!$C$7:$C$66,"TMMRUN",'Vols additionnels'!$D$7:$D$66,"A320",'Vols additionnels'!$B$7:$B$66,"&gt;="&amp;$J$90,'Vols additionnels'!$B$7:$B$66,"&lt;="&amp;$K$90)</f>
        <v>9</v>
      </c>
      <c r="O129" s="12" t="s">
        <v>62</v>
      </c>
      <c r="P129" s="12" t="s">
        <v>24</v>
      </c>
    </row>
  </sheetData>
  <mergeCells count="13">
    <mergeCell ref="B1:J1"/>
    <mergeCell ref="B2:J2"/>
    <mergeCell ref="B4:F4"/>
    <mergeCell ref="D6:F6"/>
    <mergeCell ref="D7:F7"/>
    <mergeCell ref="D8:F8"/>
    <mergeCell ref="D9:F9"/>
    <mergeCell ref="B11:F11"/>
    <mergeCell ref="B27:O27"/>
    <mergeCell ref="B44:O44"/>
    <mergeCell ref="B61:K61"/>
    <mergeCell ref="B77:L77"/>
    <mergeCell ref="B92:N9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2026-09-11T10:51:59Z</dcterms:created>
  <dc:creator>openpyxl</dc:creator>
  <dc:description/>
  <dc:language>en-US</dc:language>
  <cp:lastModifiedBy/>
  <dcterms:modified xsi:type="dcterms:W3CDTF">2026-09-11T10:52:00Z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